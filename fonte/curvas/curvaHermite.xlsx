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75" windowWidth="18480" windowHeight="5250"/>
  </bookViews>
  <sheets>
    <sheet name="Hermite" sheetId="1" r:id="rId1"/>
    <sheet name="Bezier" sheetId="2" r:id="rId2"/>
    <sheet name="Plan3" sheetId="3" r:id="rId3"/>
  </sheets>
  <calcPr calcId="144525"/>
</workbook>
</file>

<file path=xl/calcChain.xml><?xml version="1.0" encoding="utf-8"?>
<calcChain xmlns="http://schemas.openxmlformats.org/spreadsheetml/2006/main">
  <c r="H4" i="2" l="1"/>
  <c r="G4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W17" i="2"/>
  <c r="W18" i="2"/>
  <c r="W19" i="2"/>
  <c r="W16" i="2"/>
  <c r="P18" i="2"/>
  <c r="P17" i="2"/>
  <c r="P16" i="2"/>
  <c r="R12" i="2"/>
  <c r="H3" i="2"/>
  <c r="F108" i="2" s="1"/>
  <c r="G3" i="2"/>
  <c r="C10" i="2"/>
  <c r="C11" i="2" s="1"/>
  <c r="C9" i="2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C57" i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56" i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9" i="1"/>
  <c r="E9" i="1" s="1"/>
  <c r="E8" i="1"/>
  <c r="H4" i="1"/>
  <c r="G4" i="1"/>
  <c r="H3" i="1"/>
  <c r="F105" i="1" s="1"/>
  <c r="G3" i="1"/>
  <c r="F108" i="1" l="1"/>
  <c r="F106" i="1"/>
  <c r="F9" i="1"/>
  <c r="F30" i="1"/>
  <c r="F32" i="1"/>
  <c r="F34" i="1"/>
  <c r="F36" i="1"/>
  <c r="F38" i="1"/>
  <c r="F40" i="1"/>
  <c r="F42" i="1"/>
  <c r="F44" i="1"/>
  <c r="F46" i="1"/>
  <c r="F48" i="1"/>
  <c r="F50" i="1"/>
  <c r="F52" i="1"/>
  <c r="F54" i="1"/>
  <c r="F56" i="1"/>
  <c r="F58" i="1"/>
  <c r="F60" i="1"/>
  <c r="F62" i="1"/>
  <c r="F64" i="1"/>
  <c r="F66" i="1"/>
  <c r="F68" i="1"/>
  <c r="F70" i="1"/>
  <c r="F72" i="1"/>
  <c r="F74" i="1"/>
  <c r="F76" i="1"/>
  <c r="F78" i="1"/>
  <c r="F80" i="1"/>
  <c r="F82" i="1"/>
  <c r="F84" i="1"/>
  <c r="F86" i="1"/>
  <c r="F88" i="1"/>
  <c r="F90" i="1"/>
  <c r="F92" i="1"/>
  <c r="F94" i="1"/>
  <c r="F96" i="1"/>
  <c r="F98" i="1"/>
  <c r="F100" i="1"/>
  <c r="F102" i="1"/>
  <c r="F104" i="1"/>
  <c r="F29" i="1"/>
  <c r="F31" i="1"/>
  <c r="F33" i="1"/>
  <c r="F35" i="1"/>
  <c r="F37" i="1"/>
  <c r="F39" i="1"/>
  <c r="F41" i="1"/>
  <c r="F43" i="1"/>
  <c r="F45" i="1"/>
  <c r="F47" i="1"/>
  <c r="F49" i="1"/>
  <c r="F51" i="1"/>
  <c r="F53" i="1"/>
  <c r="F55" i="1"/>
  <c r="F57" i="1"/>
  <c r="F59" i="1"/>
  <c r="F61" i="1"/>
  <c r="F63" i="1"/>
  <c r="F65" i="1"/>
  <c r="F67" i="1"/>
  <c r="F69" i="1"/>
  <c r="F71" i="1"/>
  <c r="F73" i="1"/>
  <c r="F75" i="1"/>
  <c r="F77" i="1"/>
  <c r="F79" i="1"/>
  <c r="F81" i="1"/>
  <c r="F83" i="1"/>
  <c r="F85" i="1"/>
  <c r="F87" i="1"/>
  <c r="F89" i="1"/>
  <c r="F91" i="1"/>
  <c r="F93" i="1"/>
  <c r="F95" i="1"/>
  <c r="F97" i="1"/>
  <c r="F99" i="1"/>
  <c r="F101" i="1"/>
  <c r="F103" i="1"/>
  <c r="F107" i="1"/>
  <c r="F13" i="2"/>
  <c r="F21" i="2"/>
  <c r="F25" i="2"/>
  <c r="F33" i="2"/>
  <c r="F41" i="2"/>
  <c r="F49" i="2"/>
  <c r="F57" i="2"/>
  <c r="F65" i="2"/>
  <c r="F73" i="2"/>
  <c r="F81" i="2"/>
  <c r="F89" i="2"/>
  <c r="F97" i="2"/>
  <c r="F101" i="2"/>
  <c r="F10" i="2"/>
  <c r="F14" i="2"/>
  <c r="F18" i="2"/>
  <c r="F22" i="2"/>
  <c r="F26" i="2"/>
  <c r="F30" i="2"/>
  <c r="F34" i="2"/>
  <c r="F38" i="2"/>
  <c r="F42" i="2"/>
  <c r="F46" i="2"/>
  <c r="F50" i="2"/>
  <c r="F54" i="2"/>
  <c r="F58" i="2"/>
  <c r="F62" i="2"/>
  <c r="F66" i="2"/>
  <c r="F70" i="2"/>
  <c r="F74" i="2"/>
  <c r="F78" i="2"/>
  <c r="F82" i="2"/>
  <c r="F86" i="2"/>
  <c r="F90" i="2"/>
  <c r="F94" i="2"/>
  <c r="F98" i="2"/>
  <c r="F102" i="2"/>
  <c r="F106" i="2"/>
  <c r="F11" i="2"/>
  <c r="F15" i="2"/>
  <c r="F19" i="2"/>
  <c r="F23" i="2"/>
  <c r="F27" i="2"/>
  <c r="F31" i="2"/>
  <c r="F35" i="2"/>
  <c r="F39" i="2"/>
  <c r="F43" i="2"/>
  <c r="F47" i="2"/>
  <c r="F51" i="2"/>
  <c r="F55" i="2"/>
  <c r="F59" i="2"/>
  <c r="F63" i="2"/>
  <c r="F67" i="2"/>
  <c r="F71" i="2"/>
  <c r="F75" i="2"/>
  <c r="F79" i="2"/>
  <c r="F83" i="2"/>
  <c r="F87" i="2"/>
  <c r="F91" i="2"/>
  <c r="F95" i="2"/>
  <c r="F99" i="2"/>
  <c r="F103" i="2"/>
  <c r="F107" i="2"/>
  <c r="F9" i="2"/>
  <c r="F17" i="2"/>
  <c r="F29" i="2"/>
  <c r="F37" i="2"/>
  <c r="F45" i="2"/>
  <c r="F53" i="2"/>
  <c r="F61" i="2"/>
  <c r="F69" i="2"/>
  <c r="F77" i="2"/>
  <c r="F85" i="2"/>
  <c r="F93" i="2"/>
  <c r="F105" i="2"/>
  <c r="F8" i="2"/>
  <c r="F12" i="2"/>
  <c r="F16" i="2"/>
  <c r="F20" i="2"/>
  <c r="F24" i="2"/>
  <c r="F28" i="2"/>
  <c r="F32" i="2"/>
  <c r="F36" i="2"/>
  <c r="F40" i="2"/>
  <c r="F44" i="2"/>
  <c r="F48" i="2"/>
  <c r="F52" i="2"/>
  <c r="F56" i="2"/>
  <c r="F60" i="2"/>
  <c r="F64" i="2"/>
  <c r="F68" i="2"/>
  <c r="F72" i="2"/>
  <c r="F76" i="2"/>
  <c r="F80" i="2"/>
  <c r="F84" i="2"/>
  <c r="F88" i="2"/>
  <c r="F92" i="2"/>
  <c r="F96" i="2"/>
  <c r="F100" i="2"/>
  <c r="F104" i="2"/>
  <c r="C12" i="2"/>
  <c r="C29" i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E28" i="1"/>
  <c r="F15" i="1"/>
  <c r="E21" i="1"/>
  <c r="E26" i="1"/>
  <c r="E24" i="1"/>
  <c r="E12" i="1"/>
  <c r="E15" i="1"/>
  <c r="F17" i="1"/>
  <c r="E20" i="1"/>
  <c r="E23" i="1"/>
  <c r="F25" i="1"/>
  <c r="E10" i="1"/>
  <c r="E13" i="1"/>
  <c r="E18" i="1"/>
  <c r="F23" i="1"/>
  <c r="E11" i="1"/>
  <c r="F13" i="1"/>
  <c r="E16" i="1"/>
  <c r="E19" i="1"/>
  <c r="F21" i="1"/>
  <c r="E27" i="1"/>
  <c r="F28" i="1"/>
  <c r="F11" i="1"/>
  <c r="E14" i="1"/>
  <c r="E17" i="1"/>
  <c r="F19" i="1"/>
  <c r="E22" i="1"/>
  <c r="E25" i="1"/>
  <c r="F27" i="1"/>
  <c r="F8" i="1"/>
  <c r="F10" i="1"/>
  <c r="F12" i="1"/>
  <c r="F14" i="1"/>
  <c r="F16" i="1"/>
  <c r="F18" i="1"/>
  <c r="F20" i="1"/>
  <c r="F22" i="1"/>
  <c r="F24" i="1"/>
  <c r="F26" i="1"/>
  <c r="C13" i="2" l="1"/>
  <c r="C14" i="2" l="1"/>
  <c r="C15" i="2" l="1"/>
  <c r="C16" i="2" l="1"/>
  <c r="C17" i="2" l="1"/>
  <c r="C18" i="2" l="1"/>
  <c r="C19" i="2" l="1"/>
  <c r="C20" i="2" l="1"/>
  <c r="C21" i="2" l="1"/>
  <c r="C22" i="2" l="1"/>
  <c r="C23" i="2" l="1"/>
  <c r="C24" i="2" l="1"/>
  <c r="C25" i="2" l="1"/>
  <c r="C26" i="2" l="1"/>
  <c r="C27" i="2" l="1"/>
  <c r="C28" i="2" l="1"/>
  <c r="C29" i="2" l="1"/>
  <c r="C30" i="2" l="1"/>
  <c r="C31" i="2" l="1"/>
  <c r="C32" i="2" l="1"/>
  <c r="C33" i="2" l="1"/>
  <c r="C34" i="2" l="1"/>
  <c r="C35" i="2" l="1"/>
  <c r="C36" i="2" l="1"/>
  <c r="C37" i="2" l="1"/>
  <c r="C38" i="2" l="1"/>
  <c r="C39" i="2" l="1"/>
  <c r="C40" i="2" l="1"/>
  <c r="C41" i="2" l="1"/>
  <c r="C42" i="2" l="1"/>
  <c r="C43" i="2" l="1"/>
  <c r="C44" i="2" l="1"/>
  <c r="C45" i="2" l="1"/>
  <c r="C46" i="2" l="1"/>
  <c r="C47" i="2" l="1"/>
  <c r="C48" i="2" l="1"/>
  <c r="C49" i="2" l="1"/>
  <c r="C50" i="2" l="1"/>
  <c r="C51" i="2" l="1"/>
  <c r="C52" i="2" l="1"/>
  <c r="C53" i="2" l="1"/>
  <c r="C54" i="2" l="1"/>
  <c r="C55" i="2" l="1"/>
  <c r="C56" i="2" l="1"/>
  <c r="C57" i="2" l="1"/>
  <c r="C58" i="2" l="1"/>
  <c r="C59" i="2" l="1"/>
  <c r="C60" i="2" l="1"/>
  <c r="C61" i="2" l="1"/>
  <c r="C62" i="2" l="1"/>
  <c r="C63" i="2" l="1"/>
  <c r="C64" i="2" l="1"/>
  <c r="C65" i="2" l="1"/>
  <c r="C66" i="2" l="1"/>
  <c r="C67" i="2" l="1"/>
  <c r="C68" i="2" l="1"/>
  <c r="C69" i="2" l="1"/>
  <c r="C70" i="2" l="1"/>
  <c r="C71" i="2" l="1"/>
  <c r="C72" i="2" l="1"/>
  <c r="C73" i="2" l="1"/>
  <c r="C74" i="2" l="1"/>
  <c r="C75" i="2" l="1"/>
  <c r="C76" i="2" l="1"/>
  <c r="C77" i="2" l="1"/>
  <c r="C78" i="2" l="1"/>
  <c r="C79" i="2" l="1"/>
  <c r="C80" i="2" l="1"/>
  <c r="C81" i="2" l="1"/>
  <c r="C82" i="2" l="1"/>
  <c r="C83" i="2" l="1"/>
  <c r="C84" i="2" l="1"/>
  <c r="C85" i="2" l="1"/>
  <c r="C86" i="2" l="1"/>
  <c r="C87" i="2" l="1"/>
  <c r="C88" i="2" l="1"/>
  <c r="C89" i="2" l="1"/>
  <c r="C90" i="2" l="1"/>
  <c r="C91" i="2" l="1"/>
  <c r="C92" i="2" l="1"/>
  <c r="C93" i="2" l="1"/>
  <c r="C94" i="2" l="1"/>
  <c r="C95" i="2" l="1"/>
  <c r="C96" i="2" l="1"/>
  <c r="C97" i="2" l="1"/>
  <c r="C98" i="2" l="1"/>
  <c r="C99" i="2" l="1"/>
  <c r="C100" i="2" l="1"/>
  <c r="C101" i="2" l="1"/>
  <c r="C102" i="2" l="1"/>
  <c r="C103" i="2" l="1"/>
  <c r="C104" i="2" l="1"/>
  <c r="C105" i="2" l="1"/>
  <c r="C106" i="2" l="1"/>
  <c r="C107" i="2" l="1"/>
  <c r="C108" i="2" l="1"/>
</calcChain>
</file>

<file path=xl/sharedStrings.xml><?xml version="1.0" encoding="utf-8"?>
<sst xmlns="http://schemas.openxmlformats.org/spreadsheetml/2006/main" count="29" uniqueCount="12">
  <si>
    <t>t</t>
  </si>
  <si>
    <t>x</t>
  </si>
  <si>
    <t>y</t>
  </si>
  <si>
    <t>p1</t>
  </si>
  <si>
    <t>p4</t>
  </si>
  <si>
    <t>p2</t>
  </si>
  <si>
    <t>p3</t>
  </si>
  <si>
    <t>r1</t>
  </si>
  <si>
    <t>r4</t>
  </si>
  <si>
    <t>Matriz Bezier</t>
  </si>
  <si>
    <t>T</t>
  </si>
  <si>
    <t>multiplica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</si>
</sst>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Hermite!$E$8:$E$108</c:f>
              <c:numCache>
                <c:formatCode>General</c:formatCode>
                <c:ptCount val="101"/>
                <c:pt idx="0">
                  <c:v>50</c:v>
                </c:pt>
                <c:pt idx="1">
                  <c:v>50.014899999999997</c:v>
                </c:pt>
                <c:pt idx="2">
                  <c:v>50.059200000000004</c:v>
                </c:pt>
                <c:pt idx="3">
                  <c:v>50.132300000000001</c:v>
                </c:pt>
                <c:pt idx="4">
                  <c:v>50.233599999999996</c:v>
                </c:pt>
                <c:pt idx="5">
                  <c:v>50.362500000000004</c:v>
                </c:pt>
                <c:pt idx="6">
                  <c:v>50.5184</c:v>
                </c:pt>
                <c:pt idx="7">
                  <c:v>50.700700000000005</c:v>
                </c:pt>
                <c:pt idx="8">
                  <c:v>50.908799999999999</c:v>
                </c:pt>
                <c:pt idx="9">
                  <c:v>51.142099999999999</c:v>
                </c:pt>
                <c:pt idx="10">
                  <c:v>51.4</c:v>
                </c:pt>
                <c:pt idx="11">
                  <c:v>51.681899999999999</c:v>
                </c:pt>
                <c:pt idx="12">
                  <c:v>51.987199999999994</c:v>
                </c:pt>
                <c:pt idx="13">
                  <c:v>52.315300000000001</c:v>
                </c:pt>
                <c:pt idx="14">
                  <c:v>52.665599999999998</c:v>
                </c:pt>
                <c:pt idx="15">
                  <c:v>53.037500000000001</c:v>
                </c:pt>
                <c:pt idx="16">
                  <c:v>53.430399999999999</c:v>
                </c:pt>
                <c:pt idx="17">
                  <c:v>53.843700000000005</c:v>
                </c:pt>
                <c:pt idx="18">
                  <c:v>54.276799999999994</c:v>
                </c:pt>
                <c:pt idx="19">
                  <c:v>54.729100000000003</c:v>
                </c:pt>
                <c:pt idx="20">
                  <c:v>55.2</c:v>
                </c:pt>
                <c:pt idx="21">
                  <c:v>55.688900000000004</c:v>
                </c:pt>
                <c:pt idx="22">
                  <c:v>56.195200000000007</c:v>
                </c:pt>
                <c:pt idx="23">
                  <c:v>56.718299999999999</c:v>
                </c:pt>
                <c:pt idx="24">
                  <c:v>57.257600000000004</c:v>
                </c:pt>
                <c:pt idx="25">
                  <c:v>57.812500000000007</c:v>
                </c:pt>
                <c:pt idx="26">
                  <c:v>58.382400000000004</c:v>
                </c:pt>
                <c:pt idx="27">
                  <c:v>58.966700000000003</c:v>
                </c:pt>
                <c:pt idx="28">
                  <c:v>59.564800000000005</c:v>
                </c:pt>
                <c:pt idx="29">
                  <c:v>60.176100000000005</c:v>
                </c:pt>
                <c:pt idx="30">
                  <c:v>60.8</c:v>
                </c:pt>
                <c:pt idx="31">
                  <c:v>61.435900000000004</c:v>
                </c:pt>
                <c:pt idx="32">
                  <c:v>62.083200000000005</c:v>
                </c:pt>
                <c:pt idx="33">
                  <c:v>62.74130000000001</c:v>
                </c:pt>
                <c:pt idx="34">
                  <c:v>63.409600000000012</c:v>
                </c:pt>
                <c:pt idx="35">
                  <c:v>64.087500000000006</c:v>
                </c:pt>
                <c:pt idx="36">
                  <c:v>64.774400000000014</c:v>
                </c:pt>
                <c:pt idx="37">
                  <c:v>65.469700000000017</c:v>
                </c:pt>
                <c:pt idx="38">
                  <c:v>66.172800000000024</c:v>
                </c:pt>
                <c:pt idx="39">
                  <c:v>66.883100000000013</c:v>
                </c:pt>
                <c:pt idx="40">
                  <c:v>67.600000000000009</c:v>
                </c:pt>
                <c:pt idx="41">
                  <c:v>68.322900000000018</c:v>
                </c:pt>
                <c:pt idx="42">
                  <c:v>69.051200000000023</c:v>
                </c:pt>
                <c:pt idx="43">
                  <c:v>69.784300000000016</c:v>
                </c:pt>
                <c:pt idx="44">
                  <c:v>70.521600000000007</c:v>
                </c:pt>
                <c:pt idx="45">
                  <c:v>71.262500000000017</c:v>
                </c:pt>
                <c:pt idx="46">
                  <c:v>72.006400000000014</c:v>
                </c:pt>
                <c:pt idx="47">
                  <c:v>72.752700000000019</c:v>
                </c:pt>
                <c:pt idx="48">
                  <c:v>73.500800000000012</c:v>
                </c:pt>
                <c:pt idx="49">
                  <c:v>74.250100000000032</c:v>
                </c:pt>
                <c:pt idx="50">
                  <c:v>75.000000000000014</c:v>
                </c:pt>
                <c:pt idx="51">
                  <c:v>75.749900000000011</c:v>
                </c:pt>
                <c:pt idx="52">
                  <c:v>76.49920000000003</c:v>
                </c:pt>
                <c:pt idx="53">
                  <c:v>77.247300000000024</c:v>
                </c:pt>
                <c:pt idx="54">
                  <c:v>77.993600000000015</c:v>
                </c:pt>
                <c:pt idx="55">
                  <c:v>78.737500000000026</c:v>
                </c:pt>
                <c:pt idx="56">
                  <c:v>79.478400000000022</c:v>
                </c:pt>
                <c:pt idx="57">
                  <c:v>80.215700000000012</c:v>
                </c:pt>
                <c:pt idx="58">
                  <c:v>80.948800000000034</c:v>
                </c:pt>
                <c:pt idx="59">
                  <c:v>81.677100000000024</c:v>
                </c:pt>
                <c:pt idx="60">
                  <c:v>82.400000000000034</c:v>
                </c:pt>
                <c:pt idx="61">
                  <c:v>83.11690000000003</c:v>
                </c:pt>
                <c:pt idx="62">
                  <c:v>83.827200000000019</c:v>
                </c:pt>
                <c:pt idx="63">
                  <c:v>84.530300000000011</c:v>
                </c:pt>
                <c:pt idx="64">
                  <c:v>85.225600000000028</c:v>
                </c:pt>
                <c:pt idx="65">
                  <c:v>85.912500000000023</c:v>
                </c:pt>
                <c:pt idx="66">
                  <c:v>86.590400000000031</c:v>
                </c:pt>
                <c:pt idx="67">
                  <c:v>87.258700000000019</c:v>
                </c:pt>
                <c:pt idx="68">
                  <c:v>87.916800000000023</c:v>
                </c:pt>
                <c:pt idx="69">
                  <c:v>88.564100000000025</c:v>
                </c:pt>
                <c:pt idx="70">
                  <c:v>89.200000000000017</c:v>
                </c:pt>
                <c:pt idx="71">
                  <c:v>89.823900000000009</c:v>
                </c:pt>
                <c:pt idx="72">
                  <c:v>90.435200000000023</c:v>
                </c:pt>
                <c:pt idx="73">
                  <c:v>91.033300000000025</c:v>
                </c:pt>
                <c:pt idx="74">
                  <c:v>91.617600000000039</c:v>
                </c:pt>
                <c:pt idx="75">
                  <c:v>92.187500000000014</c:v>
                </c:pt>
                <c:pt idx="76">
                  <c:v>92.742400000000018</c:v>
                </c:pt>
                <c:pt idx="77">
                  <c:v>93.281700000000043</c:v>
                </c:pt>
                <c:pt idx="78">
                  <c:v>93.804800000000029</c:v>
                </c:pt>
                <c:pt idx="79">
                  <c:v>94.311100000000025</c:v>
                </c:pt>
                <c:pt idx="80">
                  <c:v>94.800000000000026</c:v>
                </c:pt>
                <c:pt idx="81">
                  <c:v>95.270900000000026</c:v>
                </c:pt>
                <c:pt idx="82">
                  <c:v>95.723200000000034</c:v>
                </c:pt>
                <c:pt idx="83">
                  <c:v>96.15630000000003</c:v>
                </c:pt>
                <c:pt idx="84">
                  <c:v>96.569600000000023</c:v>
                </c:pt>
                <c:pt idx="85">
                  <c:v>96.96250000000002</c:v>
                </c:pt>
                <c:pt idx="86">
                  <c:v>97.334400000000002</c:v>
                </c:pt>
                <c:pt idx="87">
                  <c:v>97.684700000000021</c:v>
                </c:pt>
                <c:pt idx="88">
                  <c:v>98.012800000000013</c:v>
                </c:pt>
                <c:pt idx="89">
                  <c:v>98.31810000000003</c:v>
                </c:pt>
                <c:pt idx="90">
                  <c:v>98.600000000000023</c:v>
                </c:pt>
                <c:pt idx="91">
                  <c:v>98.857900000000029</c:v>
                </c:pt>
                <c:pt idx="92">
                  <c:v>99.091200000000015</c:v>
                </c:pt>
                <c:pt idx="93">
                  <c:v>99.299300000000002</c:v>
                </c:pt>
                <c:pt idx="94">
                  <c:v>99.4816</c:v>
                </c:pt>
                <c:pt idx="95">
                  <c:v>99.637500000000003</c:v>
                </c:pt>
                <c:pt idx="96">
                  <c:v>99.766400000000019</c:v>
                </c:pt>
                <c:pt idx="97">
                  <c:v>99.867700000000013</c:v>
                </c:pt>
                <c:pt idx="98">
                  <c:v>99.94080000000001</c:v>
                </c:pt>
                <c:pt idx="99">
                  <c:v>99.985100000000017</c:v>
                </c:pt>
                <c:pt idx="100">
                  <c:v>100</c:v>
                </c:pt>
              </c:numCache>
            </c:numRef>
          </c:xVal>
          <c:yVal>
            <c:numRef>
              <c:f>Hermite!$F$8:$F$108</c:f>
              <c:numCache>
                <c:formatCode>General</c:formatCode>
                <c:ptCount val="101"/>
                <c:pt idx="0">
                  <c:v>50</c:v>
                </c:pt>
                <c:pt idx="1">
                  <c:v>50.49499999999999</c:v>
                </c:pt>
                <c:pt idx="2">
                  <c:v>50.98</c:v>
                </c:pt>
                <c:pt idx="3">
                  <c:v>51.454999999999998</c:v>
                </c:pt>
                <c:pt idx="4">
                  <c:v>51.92</c:v>
                </c:pt>
                <c:pt idx="5">
                  <c:v>52.375</c:v>
                </c:pt>
                <c:pt idx="6">
                  <c:v>52.82</c:v>
                </c:pt>
                <c:pt idx="7">
                  <c:v>53.254999999999995</c:v>
                </c:pt>
                <c:pt idx="8">
                  <c:v>53.68</c:v>
                </c:pt>
                <c:pt idx="9">
                  <c:v>54.094999999999999</c:v>
                </c:pt>
                <c:pt idx="10">
                  <c:v>54.5</c:v>
                </c:pt>
                <c:pt idx="11">
                  <c:v>54.894999999999996</c:v>
                </c:pt>
                <c:pt idx="12">
                  <c:v>55.28</c:v>
                </c:pt>
                <c:pt idx="13">
                  <c:v>55.654999999999994</c:v>
                </c:pt>
                <c:pt idx="14">
                  <c:v>56.019999999999996</c:v>
                </c:pt>
                <c:pt idx="15">
                  <c:v>56.375</c:v>
                </c:pt>
                <c:pt idx="16">
                  <c:v>56.720000000000006</c:v>
                </c:pt>
                <c:pt idx="17">
                  <c:v>57.055</c:v>
                </c:pt>
                <c:pt idx="18">
                  <c:v>57.38</c:v>
                </c:pt>
                <c:pt idx="19">
                  <c:v>57.695</c:v>
                </c:pt>
                <c:pt idx="20">
                  <c:v>58</c:v>
                </c:pt>
                <c:pt idx="21">
                  <c:v>58.295000000000002</c:v>
                </c:pt>
                <c:pt idx="22">
                  <c:v>58.58</c:v>
                </c:pt>
                <c:pt idx="23">
                  <c:v>58.855000000000004</c:v>
                </c:pt>
                <c:pt idx="24">
                  <c:v>59.120000000000005</c:v>
                </c:pt>
                <c:pt idx="25">
                  <c:v>59.375</c:v>
                </c:pt>
                <c:pt idx="26">
                  <c:v>59.620000000000005</c:v>
                </c:pt>
                <c:pt idx="27">
                  <c:v>59.855000000000004</c:v>
                </c:pt>
                <c:pt idx="28">
                  <c:v>60.080000000000005</c:v>
                </c:pt>
                <c:pt idx="29">
                  <c:v>60.295000000000002</c:v>
                </c:pt>
                <c:pt idx="30">
                  <c:v>60.5</c:v>
                </c:pt>
                <c:pt idx="31">
                  <c:v>60.695</c:v>
                </c:pt>
                <c:pt idx="32">
                  <c:v>60.88</c:v>
                </c:pt>
                <c:pt idx="33">
                  <c:v>61.055</c:v>
                </c:pt>
                <c:pt idx="34">
                  <c:v>61.220000000000006</c:v>
                </c:pt>
                <c:pt idx="35">
                  <c:v>61.375</c:v>
                </c:pt>
                <c:pt idx="36">
                  <c:v>61.52</c:v>
                </c:pt>
                <c:pt idx="37">
                  <c:v>61.655000000000001</c:v>
                </c:pt>
                <c:pt idx="38">
                  <c:v>61.780000000000008</c:v>
                </c:pt>
                <c:pt idx="39">
                  <c:v>61.894999999999996</c:v>
                </c:pt>
                <c:pt idx="40">
                  <c:v>62</c:v>
                </c:pt>
                <c:pt idx="41">
                  <c:v>62.094999999999999</c:v>
                </c:pt>
                <c:pt idx="42">
                  <c:v>62.18</c:v>
                </c:pt>
                <c:pt idx="43">
                  <c:v>62.255000000000003</c:v>
                </c:pt>
                <c:pt idx="44">
                  <c:v>62.319999999999993</c:v>
                </c:pt>
                <c:pt idx="45">
                  <c:v>62.375</c:v>
                </c:pt>
                <c:pt idx="46">
                  <c:v>62.42</c:v>
                </c:pt>
                <c:pt idx="47">
                  <c:v>62.454999999999998</c:v>
                </c:pt>
                <c:pt idx="48">
                  <c:v>62.48</c:v>
                </c:pt>
                <c:pt idx="49">
                  <c:v>62.494999999999997</c:v>
                </c:pt>
                <c:pt idx="50">
                  <c:v>62.5</c:v>
                </c:pt>
                <c:pt idx="51">
                  <c:v>62.494999999999997</c:v>
                </c:pt>
                <c:pt idx="52">
                  <c:v>62.48</c:v>
                </c:pt>
                <c:pt idx="53">
                  <c:v>62.454999999999998</c:v>
                </c:pt>
                <c:pt idx="54">
                  <c:v>62.419999999999995</c:v>
                </c:pt>
                <c:pt idx="55">
                  <c:v>62.375</c:v>
                </c:pt>
                <c:pt idx="56">
                  <c:v>62.319999999999993</c:v>
                </c:pt>
                <c:pt idx="57">
                  <c:v>62.255000000000003</c:v>
                </c:pt>
                <c:pt idx="58">
                  <c:v>62.179999999999993</c:v>
                </c:pt>
                <c:pt idx="59">
                  <c:v>62.094999999999999</c:v>
                </c:pt>
                <c:pt idx="60">
                  <c:v>62</c:v>
                </c:pt>
                <c:pt idx="61">
                  <c:v>61.894999999999996</c:v>
                </c:pt>
                <c:pt idx="62">
                  <c:v>61.779999999999994</c:v>
                </c:pt>
                <c:pt idx="63">
                  <c:v>61.654999999999994</c:v>
                </c:pt>
                <c:pt idx="64">
                  <c:v>61.519999999999996</c:v>
                </c:pt>
                <c:pt idx="65">
                  <c:v>61.374999999999993</c:v>
                </c:pt>
                <c:pt idx="66">
                  <c:v>61.22</c:v>
                </c:pt>
                <c:pt idx="67">
                  <c:v>61.054999999999993</c:v>
                </c:pt>
                <c:pt idx="68">
                  <c:v>60.879999999999995</c:v>
                </c:pt>
                <c:pt idx="69">
                  <c:v>60.694999999999993</c:v>
                </c:pt>
                <c:pt idx="70">
                  <c:v>60.5</c:v>
                </c:pt>
                <c:pt idx="71">
                  <c:v>60.294999999999987</c:v>
                </c:pt>
                <c:pt idx="72">
                  <c:v>60.079999999999991</c:v>
                </c:pt>
                <c:pt idx="73">
                  <c:v>59.854999999999983</c:v>
                </c:pt>
                <c:pt idx="74">
                  <c:v>59.61999999999999</c:v>
                </c:pt>
                <c:pt idx="75">
                  <c:v>59.374999999999986</c:v>
                </c:pt>
                <c:pt idx="76">
                  <c:v>59.11999999999999</c:v>
                </c:pt>
                <c:pt idx="77">
                  <c:v>58.854999999999983</c:v>
                </c:pt>
                <c:pt idx="78">
                  <c:v>58.579999999999984</c:v>
                </c:pt>
                <c:pt idx="79">
                  <c:v>58.29499999999998</c:v>
                </c:pt>
                <c:pt idx="80">
                  <c:v>57.999999999999986</c:v>
                </c:pt>
                <c:pt idx="81">
                  <c:v>57.694999999999986</c:v>
                </c:pt>
                <c:pt idx="82">
                  <c:v>57.379999999999981</c:v>
                </c:pt>
                <c:pt idx="83">
                  <c:v>57.054999999999986</c:v>
                </c:pt>
                <c:pt idx="84">
                  <c:v>56.719999999999985</c:v>
                </c:pt>
                <c:pt idx="85">
                  <c:v>56.374999999999979</c:v>
                </c:pt>
                <c:pt idx="86">
                  <c:v>56.019999999999982</c:v>
                </c:pt>
                <c:pt idx="87">
                  <c:v>55.654999999999987</c:v>
                </c:pt>
                <c:pt idx="88">
                  <c:v>55.27999999999998</c:v>
                </c:pt>
                <c:pt idx="89">
                  <c:v>54.894999999999982</c:v>
                </c:pt>
                <c:pt idx="90">
                  <c:v>54.499999999999979</c:v>
                </c:pt>
                <c:pt idx="91">
                  <c:v>54.09499999999997</c:v>
                </c:pt>
                <c:pt idx="92">
                  <c:v>53.679999999999978</c:v>
                </c:pt>
                <c:pt idx="93">
                  <c:v>53.254999999999974</c:v>
                </c:pt>
                <c:pt idx="94">
                  <c:v>52.819999999999972</c:v>
                </c:pt>
                <c:pt idx="95">
                  <c:v>52.374999999999972</c:v>
                </c:pt>
                <c:pt idx="96">
                  <c:v>51.919999999999973</c:v>
                </c:pt>
                <c:pt idx="97">
                  <c:v>51.454999999999963</c:v>
                </c:pt>
                <c:pt idx="98">
                  <c:v>50.979999999999968</c:v>
                </c:pt>
                <c:pt idx="99">
                  <c:v>50.494999999999969</c:v>
                </c:pt>
                <c:pt idx="100">
                  <c:v>49.999999999999964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67872"/>
        <c:axId val="64756352"/>
      </c:scatterChart>
      <c:valAx>
        <c:axId val="64767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4756352"/>
        <c:crosses val="autoZero"/>
        <c:crossBetween val="midCat"/>
      </c:valAx>
      <c:valAx>
        <c:axId val="647563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476787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Bezier!$E$8:$E$108</c:f>
              <c:numCache>
                <c:formatCode>General</c:formatCode>
                <c:ptCount val="101"/>
                <c:pt idx="0">
                  <c:v>50</c:v>
                </c:pt>
                <c:pt idx="1">
                  <c:v>48.515050000000002</c:v>
                </c:pt>
                <c:pt idx="2">
                  <c:v>47.060399999999994</c:v>
                </c:pt>
                <c:pt idx="3">
                  <c:v>45.636349999999993</c:v>
                </c:pt>
                <c:pt idx="4">
                  <c:v>44.243199999999995</c:v>
                </c:pt>
                <c:pt idx="5">
                  <c:v>42.881249999999994</c:v>
                </c:pt>
                <c:pt idx="6">
                  <c:v>41.550799999999995</c:v>
                </c:pt>
                <c:pt idx="7">
                  <c:v>40.252149999999993</c:v>
                </c:pt>
                <c:pt idx="8">
                  <c:v>38.985600000000005</c:v>
                </c:pt>
                <c:pt idx="9">
                  <c:v>37.751450000000006</c:v>
                </c:pt>
                <c:pt idx="10">
                  <c:v>36.550000000000004</c:v>
                </c:pt>
                <c:pt idx="11">
                  <c:v>35.381550000000004</c:v>
                </c:pt>
                <c:pt idx="12">
                  <c:v>34.246400000000001</c:v>
                </c:pt>
                <c:pt idx="13">
                  <c:v>33.144850000000005</c:v>
                </c:pt>
                <c:pt idx="14">
                  <c:v>32.077199999999998</c:v>
                </c:pt>
                <c:pt idx="15">
                  <c:v>31.043749999999996</c:v>
                </c:pt>
                <c:pt idx="16">
                  <c:v>30.044799999999995</c:v>
                </c:pt>
                <c:pt idx="17">
                  <c:v>29.080649999999995</c:v>
                </c:pt>
                <c:pt idx="18">
                  <c:v>28.151599999999995</c:v>
                </c:pt>
                <c:pt idx="19">
                  <c:v>27.25794999999999</c:v>
                </c:pt>
                <c:pt idx="20">
                  <c:v>26.399999999999995</c:v>
                </c:pt>
                <c:pt idx="21">
                  <c:v>25.578049999999994</c:v>
                </c:pt>
                <c:pt idx="22">
                  <c:v>24.792399999999994</c:v>
                </c:pt>
                <c:pt idx="23">
                  <c:v>24.043349999999997</c:v>
                </c:pt>
                <c:pt idx="24">
                  <c:v>23.331199999999995</c:v>
                </c:pt>
                <c:pt idx="25">
                  <c:v>22.65625</c:v>
                </c:pt>
                <c:pt idx="26">
                  <c:v>22.018799999999999</c:v>
                </c:pt>
                <c:pt idx="27">
                  <c:v>21.419149999999998</c:v>
                </c:pt>
                <c:pt idx="28">
                  <c:v>20.857599999999998</c:v>
                </c:pt>
                <c:pt idx="29">
                  <c:v>20.334450000000004</c:v>
                </c:pt>
                <c:pt idx="30">
                  <c:v>19.849999999999998</c:v>
                </c:pt>
                <c:pt idx="31">
                  <c:v>19.40455</c:v>
                </c:pt>
                <c:pt idx="32">
                  <c:v>18.9984</c:v>
                </c:pt>
                <c:pt idx="33">
                  <c:v>18.63185</c:v>
                </c:pt>
                <c:pt idx="34">
                  <c:v>18.305199999999999</c:v>
                </c:pt>
                <c:pt idx="35">
                  <c:v>18.018750000000001</c:v>
                </c:pt>
                <c:pt idx="36">
                  <c:v>17.7728</c:v>
                </c:pt>
                <c:pt idx="37">
                  <c:v>17.56765</c:v>
                </c:pt>
                <c:pt idx="38">
                  <c:v>17.403600000000001</c:v>
                </c:pt>
                <c:pt idx="39">
                  <c:v>17.280950000000004</c:v>
                </c:pt>
                <c:pt idx="40">
                  <c:v>17.2</c:v>
                </c:pt>
                <c:pt idx="41">
                  <c:v>17.161050000000003</c:v>
                </c:pt>
                <c:pt idx="42">
                  <c:v>17.164400000000004</c:v>
                </c:pt>
                <c:pt idx="43">
                  <c:v>17.210350000000005</c:v>
                </c:pt>
                <c:pt idx="44">
                  <c:v>17.299200000000006</c:v>
                </c:pt>
                <c:pt idx="45">
                  <c:v>17.431250000000006</c:v>
                </c:pt>
                <c:pt idx="46">
                  <c:v>17.606800000000007</c:v>
                </c:pt>
                <c:pt idx="47">
                  <c:v>17.826150000000009</c:v>
                </c:pt>
                <c:pt idx="48">
                  <c:v>18.089600000000011</c:v>
                </c:pt>
                <c:pt idx="49">
                  <c:v>18.39745000000001</c:v>
                </c:pt>
                <c:pt idx="50">
                  <c:v>18.750000000000007</c:v>
                </c:pt>
                <c:pt idx="51">
                  <c:v>19.14755000000001</c:v>
                </c:pt>
                <c:pt idx="52">
                  <c:v>19.59040000000001</c:v>
                </c:pt>
                <c:pt idx="53">
                  <c:v>20.07885000000001</c:v>
                </c:pt>
                <c:pt idx="54">
                  <c:v>20.613200000000017</c:v>
                </c:pt>
                <c:pt idx="55">
                  <c:v>21.193750000000012</c:v>
                </c:pt>
                <c:pt idx="56">
                  <c:v>21.82080000000002</c:v>
                </c:pt>
                <c:pt idx="57">
                  <c:v>22.494650000000018</c:v>
                </c:pt>
                <c:pt idx="58">
                  <c:v>23.215600000000023</c:v>
                </c:pt>
                <c:pt idx="59">
                  <c:v>23.983950000000025</c:v>
                </c:pt>
                <c:pt idx="60">
                  <c:v>24.800000000000026</c:v>
                </c:pt>
                <c:pt idx="61">
                  <c:v>25.664050000000028</c:v>
                </c:pt>
                <c:pt idx="62">
                  <c:v>26.576400000000032</c:v>
                </c:pt>
                <c:pt idx="63">
                  <c:v>27.537350000000036</c:v>
                </c:pt>
                <c:pt idx="64">
                  <c:v>28.547200000000036</c:v>
                </c:pt>
                <c:pt idx="65">
                  <c:v>29.606250000000038</c:v>
                </c:pt>
                <c:pt idx="66">
                  <c:v>30.714800000000039</c:v>
                </c:pt>
                <c:pt idx="67">
                  <c:v>31.873150000000045</c:v>
                </c:pt>
                <c:pt idx="68">
                  <c:v>33.081600000000051</c:v>
                </c:pt>
                <c:pt idx="69">
                  <c:v>34.340450000000047</c:v>
                </c:pt>
                <c:pt idx="70">
                  <c:v>35.650000000000055</c:v>
                </c:pt>
                <c:pt idx="71">
                  <c:v>37.010550000000052</c:v>
                </c:pt>
                <c:pt idx="72">
                  <c:v>38.42240000000006</c:v>
                </c:pt>
                <c:pt idx="73">
                  <c:v>39.885850000000062</c:v>
                </c:pt>
                <c:pt idx="74">
                  <c:v>41.401200000000067</c:v>
                </c:pt>
                <c:pt idx="75">
                  <c:v>42.968750000000071</c:v>
                </c:pt>
                <c:pt idx="76">
                  <c:v>44.58880000000007</c:v>
                </c:pt>
                <c:pt idx="77">
                  <c:v>46.261650000000081</c:v>
                </c:pt>
                <c:pt idx="78">
                  <c:v>47.987600000000079</c:v>
                </c:pt>
                <c:pt idx="79">
                  <c:v>49.766950000000087</c:v>
                </c:pt>
                <c:pt idx="80">
                  <c:v>51.600000000000087</c:v>
                </c:pt>
                <c:pt idx="81">
                  <c:v>53.487050000000089</c:v>
                </c:pt>
                <c:pt idx="82">
                  <c:v>55.428400000000089</c:v>
                </c:pt>
                <c:pt idx="83">
                  <c:v>57.424350000000103</c:v>
                </c:pt>
                <c:pt idx="84">
                  <c:v>59.475200000000108</c:v>
                </c:pt>
                <c:pt idx="85">
                  <c:v>61.581250000000111</c:v>
                </c:pt>
                <c:pt idx="86">
                  <c:v>63.742800000000116</c:v>
                </c:pt>
                <c:pt idx="87">
                  <c:v>65.960150000000112</c:v>
                </c:pt>
                <c:pt idx="88">
                  <c:v>68.233600000000123</c:v>
                </c:pt>
                <c:pt idx="89">
                  <c:v>70.563450000000131</c:v>
                </c:pt>
                <c:pt idx="90">
                  <c:v>72.950000000000145</c:v>
                </c:pt>
                <c:pt idx="91">
                  <c:v>75.393550000000147</c:v>
                </c:pt>
                <c:pt idx="92">
                  <c:v>77.894400000000147</c:v>
                </c:pt>
                <c:pt idx="93">
                  <c:v>80.452850000000154</c:v>
                </c:pt>
                <c:pt idx="94">
                  <c:v>83.069200000000166</c:v>
                </c:pt>
                <c:pt idx="95">
                  <c:v>85.743750000000162</c:v>
                </c:pt>
                <c:pt idx="96">
                  <c:v>88.476800000000182</c:v>
                </c:pt>
                <c:pt idx="97">
                  <c:v>91.268650000000193</c:v>
                </c:pt>
                <c:pt idx="98">
                  <c:v>94.119600000000176</c:v>
                </c:pt>
                <c:pt idx="99">
                  <c:v>97.029950000000198</c:v>
                </c:pt>
                <c:pt idx="100">
                  <c:v>100.0000000000002</c:v>
                </c:pt>
              </c:numCache>
            </c:numRef>
          </c:xVal>
          <c:yVal>
            <c:numRef>
              <c:f>Bezier!$F$8:$F$108</c:f>
              <c:numCache>
                <c:formatCode>General</c:formatCode>
                <c:ptCount val="101"/>
                <c:pt idx="0">
                  <c:v>50</c:v>
                </c:pt>
                <c:pt idx="1">
                  <c:v>52.97</c:v>
                </c:pt>
                <c:pt idx="2">
                  <c:v>55.879999999999995</c:v>
                </c:pt>
                <c:pt idx="3">
                  <c:v>58.73</c:v>
                </c:pt>
                <c:pt idx="4">
                  <c:v>61.519999999999996</c:v>
                </c:pt>
                <c:pt idx="5">
                  <c:v>64.249999999999986</c:v>
                </c:pt>
                <c:pt idx="6">
                  <c:v>66.92</c:v>
                </c:pt>
                <c:pt idx="7">
                  <c:v>69.53</c:v>
                </c:pt>
                <c:pt idx="8">
                  <c:v>72.080000000000013</c:v>
                </c:pt>
                <c:pt idx="9">
                  <c:v>74.570000000000022</c:v>
                </c:pt>
                <c:pt idx="10">
                  <c:v>77</c:v>
                </c:pt>
                <c:pt idx="11">
                  <c:v>79.370000000000019</c:v>
                </c:pt>
                <c:pt idx="12">
                  <c:v>81.679999999999978</c:v>
                </c:pt>
                <c:pt idx="13">
                  <c:v>83.929999999999993</c:v>
                </c:pt>
                <c:pt idx="14">
                  <c:v>86.119999999999976</c:v>
                </c:pt>
                <c:pt idx="15">
                  <c:v>88.25</c:v>
                </c:pt>
                <c:pt idx="16">
                  <c:v>90.32</c:v>
                </c:pt>
                <c:pt idx="17">
                  <c:v>92.33</c:v>
                </c:pt>
                <c:pt idx="18">
                  <c:v>94.28</c:v>
                </c:pt>
                <c:pt idx="19">
                  <c:v>96.17</c:v>
                </c:pt>
                <c:pt idx="20">
                  <c:v>98</c:v>
                </c:pt>
                <c:pt idx="21">
                  <c:v>99.77</c:v>
                </c:pt>
                <c:pt idx="22">
                  <c:v>101.47999999999999</c:v>
                </c:pt>
                <c:pt idx="23">
                  <c:v>103.13000000000001</c:v>
                </c:pt>
                <c:pt idx="24">
                  <c:v>104.72</c:v>
                </c:pt>
                <c:pt idx="25">
                  <c:v>106.25000000000003</c:v>
                </c:pt>
                <c:pt idx="26">
                  <c:v>107.72000000000004</c:v>
                </c:pt>
                <c:pt idx="27">
                  <c:v>109.13000000000002</c:v>
                </c:pt>
                <c:pt idx="28">
                  <c:v>110.48000000000003</c:v>
                </c:pt>
                <c:pt idx="29">
                  <c:v>111.77000000000004</c:v>
                </c:pt>
                <c:pt idx="30">
                  <c:v>113.00000000000003</c:v>
                </c:pt>
                <c:pt idx="31">
                  <c:v>114.17000000000003</c:v>
                </c:pt>
                <c:pt idx="32">
                  <c:v>115.28000000000004</c:v>
                </c:pt>
                <c:pt idx="33">
                  <c:v>116.33000000000004</c:v>
                </c:pt>
                <c:pt idx="34">
                  <c:v>117.32000000000002</c:v>
                </c:pt>
                <c:pt idx="35">
                  <c:v>118.25000000000001</c:v>
                </c:pt>
                <c:pt idx="36">
                  <c:v>119.12000000000003</c:v>
                </c:pt>
                <c:pt idx="37">
                  <c:v>119.93000000000005</c:v>
                </c:pt>
                <c:pt idx="38">
                  <c:v>120.68000000000005</c:v>
                </c:pt>
                <c:pt idx="39">
                  <c:v>121.37000000000003</c:v>
                </c:pt>
                <c:pt idx="40">
                  <c:v>122.00000000000003</c:v>
                </c:pt>
                <c:pt idx="41">
                  <c:v>122.57000000000004</c:v>
                </c:pt>
                <c:pt idx="42">
                  <c:v>123.08000000000003</c:v>
                </c:pt>
                <c:pt idx="43">
                  <c:v>123.53000000000002</c:v>
                </c:pt>
                <c:pt idx="44">
                  <c:v>123.92000000000002</c:v>
                </c:pt>
                <c:pt idx="45">
                  <c:v>124.25000000000003</c:v>
                </c:pt>
                <c:pt idx="46">
                  <c:v>124.52000000000004</c:v>
                </c:pt>
                <c:pt idx="47">
                  <c:v>124.73000000000003</c:v>
                </c:pt>
                <c:pt idx="48">
                  <c:v>124.88000000000002</c:v>
                </c:pt>
                <c:pt idx="49">
                  <c:v>124.97000000000003</c:v>
                </c:pt>
                <c:pt idx="50">
                  <c:v>125.00000000000001</c:v>
                </c:pt>
                <c:pt idx="51">
                  <c:v>124.97</c:v>
                </c:pt>
                <c:pt idx="52">
                  <c:v>124.88</c:v>
                </c:pt>
                <c:pt idx="53">
                  <c:v>124.73</c:v>
                </c:pt>
                <c:pt idx="54">
                  <c:v>124.52</c:v>
                </c:pt>
                <c:pt idx="55">
                  <c:v>124.24999999999999</c:v>
                </c:pt>
                <c:pt idx="56">
                  <c:v>123.91999999999999</c:v>
                </c:pt>
                <c:pt idx="57">
                  <c:v>123.52999999999999</c:v>
                </c:pt>
                <c:pt idx="58">
                  <c:v>123.07999999999998</c:v>
                </c:pt>
                <c:pt idx="59">
                  <c:v>122.57</c:v>
                </c:pt>
                <c:pt idx="60">
                  <c:v>121.99999999999999</c:v>
                </c:pt>
                <c:pt idx="61">
                  <c:v>121.36999999999999</c:v>
                </c:pt>
                <c:pt idx="62">
                  <c:v>120.67999999999998</c:v>
                </c:pt>
                <c:pt idx="63">
                  <c:v>119.92999999999996</c:v>
                </c:pt>
                <c:pt idx="64">
                  <c:v>119.11999999999996</c:v>
                </c:pt>
                <c:pt idx="65">
                  <c:v>118.24999999999996</c:v>
                </c:pt>
                <c:pt idx="66">
                  <c:v>117.31999999999998</c:v>
                </c:pt>
                <c:pt idx="67">
                  <c:v>116.32999999999996</c:v>
                </c:pt>
                <c:pt idx="68">
                  <c:v>115.27999999999996</c:v>
                </c:pt>
                <c:pt idx="69">
                  <c:v>114.16999999999994</c:v>
                </c:pt>
                <c:pt idx="70">
                  <c:v>112.99999999999994</c:v>
                </c:pt>
                <c:pt idx="71">
                  <c:v>111.76999999999994</c:v>
                </c:pt>
                <c:pt idx="72">
                  <c:v>110.47999999999995</c:v>
                </c:pt>
                <c:pt idx="73">
                  <c:v>109.12999999999994</c:v>
                </c:pt>
                <c:pt idx="74">
                  <c:v>107.71999999999994</c:v>
                </c:pt>
                <c:pt idx="75">
                  <c:v>106.24999999999994</c:v>
                </c:pt>
                <c:pt idx="76">
                  <c:v>104.71999999999991</c:v>
                </c:pt>
                <c:pt idx="77">
                  <c:v>103.12999999999994</c:v>
                </c:pt>
                <c:pt idx="78">
                  <c:v>101.47999999999992</c:v>
                </c:pt>
                <c:pt idx="79">
                  <c:v>99.769999999999911</c:v>
                </c:pt>
                <c:pt idx="80">
                  <c:v>97.999999999999915</c:v>
                </c:pt>
                <c:pt idx="81">
                  <c:v>96.169999999999902</c:v>
                </c:pt>
                <c:pt idx="82">
                  <c:v>94.279999999999887</c:v>
                </c:pt>
                <c:pt idx="83">
                  <c:v>92.329999999999899</c:v>
                </c:pt>
                <c:pt idx="84">
                  <c:v>90.319999999999894</c:v>
                </c:pt>
                <c:pt idx="85">
                  <c:v>88.249999999999886</c:v>
                </c:pt>
                <c:pt idx="86">
                  <c:v>86.119999999999877</c:v>
                </c:pt>
                <c:pt idx="87">
                  <c:v>83.929999999999865</c:v>
                </c:pt>
                <c:pt idx="88">
                  <c:v>81.679999999999865</c:v>
                </c:pt>
                <c:pt idx="89">
                  <c:v>79.369999999999862</c:v>
                </c:pt>
                <c:pt idx="90">
                  <c:v>76.999999999999858</c:v>
                </c:pt>
                <c:pt idx="91">
                  <c:v>74.569999999999851</c:v>
                </c:pt>
                <c:pt idx="92">
                  <c:v>72.079999999999842</c:v>
                </c:pt>
                <c:pt idx="93">
                  <c:v>69.529999999999845</c:v>
                </c:pt>
                <c:pt idx="94">
                  <c:v>66.919999999999845</c:v>
                </c:pt>
                <c:pt idx="95">
                  <c:v>64.249999999999829</c:v>
                </c:pt>
                <c:pt idx="96">
                  <c:v>61.519999999999825</c:v>
                </c:pt>
                <c:pt idx="97">
                  <c:v>58.729999999999826</c:v>
                </c:pt>
                <c:pt idx="98">
                  <c:v>55.879999999999811</c:v>
                </c:pt>
                <c:pt idx="99">
                  <c:v>52.969999999999807</c:v>
                </c:pt>
                <c:pt idx="100">
                  <c:v>49.999999999999801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206208"/>
        <c:axId val="72202880"/>
      </c:scatterChart>
      <c:valAx>
        <c:axId val="7220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2202880"/>
        <c:crosses val="autoZero"/>
        <c:crossBetween val="midCat"/>
      </c:valAx>
      <c:valAx>
        <c:axId val="72202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220620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88</xdr:row>
      <xdr:rowOff>185737</xdr:rowOff>
    </xdr:from>
    <xdr:to>
      <xdr:col>14</xdr:col>
      <xdr:colOff>180975</xdr:colOff>
      <xdr:row>103</xdr:row>
      <xdr:rowOff>71437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88</xdr:row>
      <xdr:rowOff>185737</xdr:rowOff>
    </xdr:from>
    <xdr:to>
      <xdr:col>14</xdr:col>
      <xdr:colOff>180975</xdr:colOff>
      <xdr:row>103</xdr:row>
      <xdr:rowOff>71437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08"/>
  <sheetViews>
    <sheetView tabSelected="1" workbookViewId="0">
      <selection activeCell="G3" sqref="G3"/>
    </sheetView>
  </sheetViews>
  <sheetFormatPr defaultRowHeight="15" x14ac:dyDescent="0.25"/>
  <sheetData>
    <row r="1" spans="2:8" x14ac:dyDescent="0.25">
      <c r="C1" t="s">
        <v>1</v>
      </c>
      <c r="D1" t="s">
        <v>2</v>
      </c>
      <c r="G1" t="s">
        <v>1</v>
      </c>
      <c r="H1" t="s">
        <v>2</v>
      </c>
    </row>
    <row r="2" spans="2:8" x14ac:dyDescent="0.25">
      <c r="B2" t="s">
        <v>3</v>
      </c>
      <c r="C2">
        <v>50</v>
      </c>
      <c r="D2">
        <v>50</v>
      </c>
    </row>
    <row r="3" spans="2:8" x14ac:dyDescent="0.25">
      <c r="B3" t="s">
        <v>5</v>
      </c>
      <c r="C3">
        <v>50</v>
      </c>
      <c r="D3">
        <v>100</v>
      </c>
      <c r="F3" t="s">
        <v>7</v>
      </c>
      <c r="G3">
        <f>C3-C2</f>
        <v>0</v>
      </c>
      <c r="H3">
        <f>D3-D2</f>
        <v>50</v>
      </c>
    </row>
    <row r="4" spans="2:8" x14ac:dyDescent="0.25">
      <c r="B4" t="s">
        <v>6</v>
      </c>
      <c r="C4">
        <v>100</v>
      </c>
      <c r="D4">
        <v>100</v>
      </c>
      <c r="F4" t="s">
        <v>8</v>
      </c>
      <c r="G4">
        <f>C5-C4</f>
        <v>0</v>
      </c>
      <c r="H4">
        <f>D5-D4</f>
        <v>-50</v>
      </c>
    </row>
    <row r="5" spans="2:8" x14ac:dyDescent="0.25">
      <c r="B5" t="s">
        <v>4</v>
      </c>
      <c r="C5">
        <v>100</v>
      </c>
      <c r="D5">
        <v>50</v>
      </c>
    </row>
    <row r="7" spans="2:8" x14ac:dyDescent="0.25">
      <c r="C7" t="s">
        <v>0</v>
      </c>
      <c r="E7" t="s">
        <v>1</v>
      </c>
      <c r="F7" t="s">
        <v>2</v>
      </c>
    </row>
    <row r="8" spans="2:8" x14ac:dyDescent="0.25">
      <c r="C8">
        <v>0</v>
      </c>
      <c r="E8">
        <f>$C$2*(2*C8^3 - 3*C8^2+1)+$C$5*(-2*C8^3+3*C8^2)+$G$3*(C8^3-2*C8^2+C8)+$G$4*(C8^3-C8^2)</f>
        <v>50</v>
      </c>
      <c r="F8">
        <f>$D$2*(2*C8^3 - 3*C8^2+1)+$D$5*(-2*C8^3+3*C8^2)+$H$3*(C8^3-2*C8^2+C8)+$H$4*(C8^3-C8^2)</f>
        <v>50</v>
      </c>
    </row>
    <row r="9" spans="2:8" x14ac:dyDescent="0.25">
      <c r="C9">
        <f>C8+0.01</f>
        <v>0.01</v>
      </c>
      <c r="E9">
        <f t="shared" ref="E9:E28" si="0">$C$2*(2*C9^3 - 3*C9^2+1)+$C$5*(-2*C9^3+3*C9^2)+$G$3*(C9^3-2*C9^2+C9)+$G$4*(C9^3-C9^2)</f>
        <v>50.014899999999997</v>
      </c>
      <c r="F9">
        <f t="shared" ref="F9:F28" si="1">$D$2*(2*C9^3 - 3*C9^2+1)+$D$5*(-2*C9^3+3*C9^2)+$H$3*(C9^3-2*C9^2+C9)+$H$4*(C9^3-C9^2)</f>
        <v>50.49499999999999</v>
      </c>
    </row>
    <row r="10" spans="2:8" x14ac:dyDescent="0.25">
      <c r="C10">
        <f t="shared" ref="C10:C73" si="2">C9+0.01</f>
        <v>0.02</v>
      </c>
      <c r="E10">
        <f t="shared" si="0"/>
        <v>50.059200000000004</v>
      </c>
      <c r="F10">
        <f t="shared" si="1"/>
        <v>50.98</v>
      </c>
    </row>
    <row r="11" spans="2:8" x14ac:dyDescent="0.25">
      <c r="C11">
        <f t="shared" si="2"/>
        <v>0.03</v>
      </c>
      <c r="E11">
        <f t="shared" si="0"/>
        <v>50.132300000000001</v>
      </c>
      <c r="F11">
        <f t="shared" si="1"/>
        <v>51.454999999999998</v>
      </c>
    </row>
    <row r="12" spans="2:8" x14ac:dyDescent="0.25">
      <c r="C12">
        <f t="shared" si="2"/>
        <v>0.04</v>
      </c>
      <c r="E12">
        <f t="shared" si="0"/>
        <v>50.233599999999996</v>
      </c>
      <c r="F12">
        <f t="shared" si="1"/>
        <v>51.92</v>
      </c>
    </row>
    <row r="13" spans="2:8" x14ac:dyDescent="0.25">
      <c r="C13">
        <f t="shared" si="2"/>
        <v>0.05</v>
      </c>
      <c r="E13">
        <f t="shared" si="0"/>
        <v>50.362500000000004</v>
      </c>
      <c r="F13">
        <f t="shared" si="1"/>
        <v>52.375</v>
      </c>
    </row>
    <row r="14" spans="2:8" x14ac:dyDescent="0.25">
      <c r="C14">
        <f t="shared" si="2"/>
        <v>6.0000000000000005E-2</v>
      </c>
      <c r="E14">
        <f t="shared" si="0"/>
        <v>50.5184</v>
      </c>
      <c r="F14">
        <f t="shared" si="1"/>
        <v>52.82</v>
      </c>
    </row>
    <row r="15" spans="2:8" x14ac:dyDescent="0.25">
      <c r="C15">
        <f t="shared" si="2"/>
        <v>7.0000000000000007E-2</v>
      </c>
      <c r="E15">
        <f t="shared" si="0"/>
        <v>50.700700000000005</v>
      </c>
      <c r="F15">
        <f t="shared" si="1"/>
        <v>53.254999999999995</v>
      </c>
    </row>
    <row r="16" spans="2:8" x14ac:dyDescent="0.25">
      <c r="C16">
        <f t="shared" si="2"/>
        <v>0.08</v>
      </c>
      <c r="E16">
        <f t="shared" si="0"/>
        <v>50.908799999999999</v>
      </c>
      <c r="F16">
        <f t="shared" si="1"/>
        <v>53.68</v>
      </c>
    </row>
    <row r="17" spans="3:6" x14ac:dyDescent="0.25">
      <c r="C17">
        <f t="shared" si="2"/>
        <v>0.09</v>
      </c>
      <c r="E17">
        <f t="shared" si="0"/>
        <v>51.142099999999999</v>
      </c>
      <c r="F17">
        <f t="shared" si="1"/>
        <v>54.094999999999999</v>
      </c>
    </row>
    <row r="18" spans="3:6" x14ac:dyDescent="0.25">
      <c r="C18">
        <f t="shared" si="2"/>
        <v>9.9999999999999992E-2</v>
      </c>
      <c r="E18">
        <f t="shared" si="0"/>
        <v>51.4</v>
      </c>
      <c r="F18">
        <f t="shared" si="1"/>
        <v>54.5</v>
      </c>
    </row>
    <row r="19" spans="3:6" x14ac:dyDescent="0.25">
      <c r="C19">
        <f t="shared" si="2"/>
        <v>0.10999999999999999</v>
      </c>
      <c r="E19">
        <f t="shared" si="0"/>
        <v>51.681899999999999</v>
      </c>
      <c r="F19">
        <f t="shared" si="1"/>
        <v>54.894999999999996</v>
      </c>
    </row>
    <row r="20" spans="3:6" x14ac:dyDescent="0.25">
      <c r="C20">
        <f t="shared" si="2"/>
        <v>0.11999999999999998</v>
      </c>
      <c r="E20">
        <f t="shared" si="0"/>
        <v>51.987199999999994</v>
      </c>
      <c r="F20">
        <f t="shared" si="1"/>
        <v>55.28</v>
      </c>
    </row>
    <row r="21" spans="3:6" x14ac:dyDescent="0.25">
      <c r="C21">
        <f t="shared" si="2"/>
        <v>0.12999999999999998</v>
      </c>
      <c r="E21">
        <f t="shared" si="0"/>
        <v>52.315300000000001</v>
      </c>
      <c r="F21">
        <f t="shared" si="1"/>
        <v>55.654999999999994</v>
      </c>
    </row>
    <row r="22" spans="3:6" x14ac:dyDescent="0.25">
      <c r="C22">
        <f t="shared" si="2"/>
        <v>0.13999999999999999</v>
      </c>
      <c r="E22">
        <f t="shared" si="0"/>
        <v>52.665599999999998</v>
      </c>
      <c r="F22">
        <f t="shared" si="1"/>
        <v>56.019999999999996</v>
      </c>
    </row>
    <row r="23" spans="3:6" x14ac:dyDescent="0.25">
      <c r="C23">
        <f t="shared" si="2"/>
        <v>0.15</v>
      </c>
      <c r="E23">
        <f t="shared" si="0"/>
        <v>53.037500000000001</v>
      </c>
      <c r="F23">
        <f t="shared" si="1"/>
        <v>56.375</v>
      </c>
    </row>
    <row r="24" spans="3:6" x14ac:dyDescent="0.25">
      <c r="C24">
        <f t="shared" si="2"/>
        <v>0.16</v>
      </c>
      <c r="E24">
        <f t="shared" si="0"/>
        <v>53.430399999999999</v>
      </c>
      <c r="F24">
        <f t="shared" si="1"/>
        <v>56.720000000000006</v>
      </c>
    </row>
    <row r="25" spans="3:6" x14ac:dyDescent="0.25">
      <c r="C25">
        <f t="shared" si="2"/>
        <v>0.17</v>
      </c>
      <c r="E25">
        <f t="shared" si="0"/>
        <v>53.843700000000005</v>
      </c>
      <c r="F25">
        <f t="shared" si="1"/>
        <v>57.055</v>
      </c>
    </row>
    <row r="26" spans="3:6" x14ac:dyDescent="0.25">
      <c r="C26">
        <f t="shared" si="2"/>
        <v>0.18000000000000002</v>
      </c>
      <c r="E26">
        <f t="shared" si="0"/>
        <v>54.276799999999994</v>
      </c>
      <c r="F26">
        <f t="shared" si="1"/>
        <v>57.38</v>
      </c>
    </row>
    <row r="27" spans="3:6" x14ac:dyDescent="0.25">
      <c r="C27">
        <f t="shared" si="2"/>
        <v>0.19000000000000003</v>
      </c>
      <c r="E27">
        <f t="shared" si="0"/>
        <v>54.729100000000003</v>
      </c>
      <c r="F27">
        <f t="shared" si="1"/>
        <v>57.695</v>
      </c>
    </row>
    <row r="28" spans="3:6" x14ac:dyDescent="0.25">
      <c r="C28">
        <f t="shared" si="2"/>
        <v>0.20000000000000004</v>
      </c>
      <c r="E28">
        <f t="shared" si="0"/>
        <v>55.2</v>
      </c>
      <c r="F28">
        <f t="shared" si="1"/>
        <v>58</v>
      </c>
    </row>
    <row r="29" spans="3:6" x14ac:dyDescent="0.25">
      <c r="C29">
        <f t="shared" si="2"/>
        <v>0.21000000000000005</v>
      </c>
      <c r="E29">
        <f t="shared" ref="E29:E92" si="3">$C$2*(2*C29^3 - 3*C29^2+1)+$C$5*(-2*C29^3+3*C29^2)+$G$3*(C29^3-2*C29^2+C29)+$G$4*(C29^3-C29^2)</f>
        <v>55.688900000000004</v>
      </c>
      <c r="F29">
        <f t="shared" ref="F29:F92" si="4">$D$2*(2*C29^3 - 3*C29^2+1)+$D$5*(-2*C29^3+3*C29^2)+$H$3*(C29^3-2*C29^2+C29)+$H$4*(C29^3-C29^2)</f>
        <v>58.295000000000002</v>
      </c>
    </row>
    <row r="30" spans="3:6" x14ac:dyDescent="0.25">
      <c r="C30">
        <f t="shared" si="2"/>
        <v>0.22000000000000006</v>
      </c>
      <c r="E30">
        <f t="shared" si="3"/>
        <v>56.195200000000007</v>
      </c>
      <c r="F30">
        <f t="shared" si="4"/>
        <v>58.58</v>
      </c>
    </row>
    <row r="31" spans="3:6" x14ac:dyDescent="0.25">
      <c r="C31">
        <f t="shared" si="2"/>
        <v>0.23000000000000007</v>
      </c>
      <c r="E31">
        <f t="shared" si="3"/>
        <v>56.718299999999999</v>
      </c>
      <c r="F31">
        <f t="shared" si="4"/>
        <v>58.855000000000004</v>
      </c>
    </row>
    <row r="32" spans="3:6" x14ac:dyDescent="0.25">
      <c r="C32">
        <f t="shared" si="2"/>
        <v>0.24000000000000007</v>
      </c>
      <c r="E32">
        <f t="shared" si="3"/>
        <v>57.257600000000004</v>
      </c>
      <c r="F32">
        <f t="shared" si="4"/>
        <v>59.120000000000005</v>
      </c>
    </row>
    <row r="33" spans="3:6" x14ac:dyDescent="0.25">
      <c r="C33">
        <f t="shared" si="2"/>
        <v>0.25000000000000006</v>
      </c>
      <c r="E33">
        <f t="shared" si="3"/>
        <v>57.812500000000007</v>
      </c>
      <c r="F33">
        <f t="shared" si="4"/>
        <v>59.375</v>
      </c>
    </row>
    <row r="34" spans="3:6" x14ac:dyDescent="0.25">
      <c r="C34">
        <f t="shared" si="2"/>
        <v>0.26000000000000006</v>
      </c>
      <c r="E34">
        <f t="shared" si="3"/>
        <v>58.382400000000004</v>
      </c>
      <c r="F34">
        <f t="shared" si="4"/>
        <v>59.620000000000005</v>
      </c>
    </row>
    <row r="35" spans="3:6" x14ac:dyDescent="0.25">
      <c r="C35">
        <f t="shared" si="2"/>
        <v>0.27000000000000007</v>
      </c>
      <c r="E35">
        <f t="shared" si="3"/>
        <v>58.966700000000003</v>
      </c>
      <c r="F35">
        <f t="shared" si="4"/>
        <v>59.855000000000004</v>
      </c>
    </row>
    <row r="36" spans="3:6" x14ac:dyDescent="0.25">
      <c r="C36">
        <f t="shared" si="2"/>
        <v>0.28000000000000008</v>
      </c>
      <c r="E36">
        <f t="shared" si="3"/>
        <v>59.564800000000005</v>
      </c>
      <c r="F36">
        <f t="shared" si="4"/>
        <v>60.080000000000005</v>
      </c>
    </row>
    <row r="37" spans="3:6" x14ac:dyDescent="0.25">
      <c r="C37">
        <f t="shared" si="2"/>
        <v>0.29000000000000009</v>
      </c>
      <c r="E37">
        <f t="shared" si="3"/>
        <v>60.176100000000005</v>
      </c>
      <c r="F37">
        <f t="shared" si="4"/>
        <v>60.295000000000002</v>
      </c>
    </row>
    <row r="38" spans="3:6" x14ac:dyDescent="0.25">
      <c r="C38">
        <f t="shared" si="2"/>
        <v>0.3000000000000001</v>
      </c>
      <c r="E38">
        <f t="shared" si="3"/>
        <v>60.8</v>
      </c>
      <c r="F38">
        <f t="shared" si="4"/>
        <v>60.5</v>
      </c>
    </row>
    <row r="39" spans="3:6" x14ac:dyDescent="0.25">
      <c r="C39">
        <f t="shared" si="2"/>
        <v>0.31000000000000011</v>
      </c>
      <c r="E39">
        <f t="shared" si="3"/>
        <v>61.435900000000004</v>
      </c>
      <c r="F39">
        <f t="shared" si="4"/>
        <v>60.695</v>
      </c>
    </row>
    <row r="40" spans="3:6" x14ac:dyDescent="0.25">
      <c r="C40">
        <f t="shared" si="2"/>
        <v>0.32000000000000012</v>
      </c>
      <c r="E40">
        <f t="shared" si="3"/>
        <v>62.083200000000005</v>
      </c>
      <c r="F40">
        <f t="shared" si="4"/>
        <v>60.88</v>
      </c>
    </row>
    <row r="41" spans="3:6" x14ac:dyDescent="0.25">
      <c r="C41">
        <f t="shared" si="2"/>
        <v>0.33000000000000013</v>
      </c>
      <c r="E41">
        <f t="shared" si="3"/>
        <v>62.74130000000001</v>
      </c>
      <c r="F41">
        <f t="shared" si="4"/>
        <v>61.055</v>
      </c>
    </row>
    <row r="42" spans="3:6" x14ac:dyDescent="0.25">
      <c r="C42">
        <f t="shared" si="2"/>
        <v>0.34000000000000014</v>
      </c>
      <c r="E42">
        <f t="shared" si="3"/>
        <v>63.409600000000012</v>
      </c>
      <c r="F42">
        <f t="shared" si="4"/>
        <v>61.220000000000006</v>
      </c>
    </row>
    <row r="43" spans="3:6" x14ac:dyDescent="0.25">
      <c r="C43">
        <f t="shared" si="2"/>
        <v>0.35000000000000014</v>
      </c>
      <c r="E43">
        <f t="shared" si="3"/>
        <v>64.087500000000006</v>
      </c>
      <c r="F43">
        <f t="shared" si="4"/>
        <v>61.375</v>
      </c>
    </row>
    <row r="44" spans="3:6" x14ac:dyDescent="0.25">
      <c r="C44">
        <f t="shared" si="2"/>
        <v>0.36000000000000015</v>
      </c>
      <c r="E44">
        <f t="shared" si="3"/>
        <v>64.774400000000014</v>
      </c>
      <c r="F44">
        <f t="shared" si="4"/>
        <v>61.52</v>
      </c>
    </row>
    <row r="45" spans="3:6" x14ac:dyDescent="0.25">
      <c r="C45">
        <f t="shared" si="2"/>
        <v>0.37000000000000016</v>
      </c>
      <c r="E45">
        <f t="shared" si="3"/>
        <v>65.469700000000017</v>
      </c>
      <c r="F45">
        <f t="shared" si="4"/>
        <v>61.655000000000001</v>
      </c>
    </row>
    <row r="46" spans="3:6" x14ac:dyDescent="0.25">
      <c r="C46">
        <f t="shared" si="2"/>
        <v>0.38000000000000017</v>
      </c>
      <c r="E46">
        <f t="shared" si="3"/>
        <v>66.172800000000024</v>
      </c>
      <c r="F46">
        <f t="shared" si="4"/>
        <v>61.780000000000008</v>
      </c>
    </row>
    <row r="47" spans="3:6" x14ac:dyDescent="0.25">
      <c r="C47">
        <f t="shared" si="2"/>
        <v>0.39000000000000018</v>
      </c>
      <c r="E47">
        <f t="shared" si="3"/>
        <v>66.883100000000013</v>
      </c>
      <c r="F47">
        <f t="shared" si="4"/>
        <v>61.894999999999996</v>
      </c>
    </row>
    <row r="48" spans="3:6" x14ac:dyDescent="0.25">
      <c r="C48">
        <f t="shared" si="2"/>
        <v>0.40000000000000019</v>
      </c>
      <c r="E48">
        <f t="shared" si="3"/>
        <v>67.600000000000009</v>
      </c>
      <c r="F48">
        <f t="shared" si="4"/>
        <v>62</v>
      </c>
    </row>
    <row r="49" spans="3:6" x14ac:dyDescent="0.25">
      <c r="C49">
        <f t="shared" si="2"/>
        <v>0.4100000000000002</v>
      </c>
      <c r="E49">
        <f t="shared" si="3"/>
        <v>68.322900000000018</v>
      </c>
      <c r="F49">
        <f t="shared" si="4"/>
        <v>62.094999999999999</v>
      </c>
    </row>
    <row r="50" spans="3:6" x14ac:dyDescent="0.25">
      <c r="C50">
        <f t="shared" si="2"/>
        <v>0.42000000000000021</v>
      </c>
      <c r="E50">
        <f t="shared" si="3"/>
        <v>69.051200000000023</v>
      </c>
      <c r="F50">
        <f t="shared" si="4"/>
        <v>62.18</v>
      </c>
    </row>
    <row r="51" spans="3:6" x14ac:dyDescent="0.25">
      <c r="C51">
        <f t="shared" si="2"/>
        <v>0.43000000000000022</v>
      </c>
      <c r="E51">
        <f t="shared" si="3"/>
        <v>69.784300000000016</v>
      </c>
      <c r="F51">
        <f t="shared" si="4"/>
        <v>62.255000000000003</v>
      </c>
    </row>
    <row r="52" spans="3:6" x14ac:dyDescent="0.25">
      <c r="C52">
        <f t="shared" si="2"/>
        <v>0.44000000000000022</v>
      </c>
      <c r="E52">
        <f t="shared" si="3"/>
        <v>70.521600000000007</v>
      </c>
      <c r="F52">
        <f t="shared" si="4"/>
        <v>62.319999999999993</v>
      </c>
    </row>
    <row r="53" spans="3:6" x14ac:dyDescent="0.25">
      <c r="C53">
        <f t="shared" si="2"/>
        <v>0.45000000000000023</v>
      </c>
      <c r="E53">
        <f t="shared" si="3"/>
        <v>71.262500000000017</v>
      </c>
      <c r="F53">
        <f t="shared" si="4"/>
        <v>62.375</v>
      </c>
    </row>
    <row r="54" spans="3:6" x14ac:dyDescent="0.25">
      <c r="C54">
        <f t="shared" si="2"/>
        <v>0.46000000000000024</v>
      </c>
      <c r="E54">
        <f t="shared" si="3"/>
        <v>72.006400000000014</v>
      </c>
      <c r="F54">
        <f t="shared" si="4"/>
        <v>62.42</v>
      </c>
    </row>
    <row r="55" spans="3:6" x14ac:dyDescent="0.25">
      <c r="C55">
        <f t="shared" si="2"/>
        <v>0.47000000000000025</v>
      </c>
      <c r="E55">
        <f t="shared" si="3"/>
        <v>72.752700000000019</v>
      </c>
      <c r="F55">
        <f t="shared" si="4"/>
        <v>62.454999999999998</v>
      </c>
    </row>
    <row r="56" spans="3:6" x14ac:dyDescent="0.25">
      <c r="C56">
        <f t="shared" si="2"/>
        <v>0.48000000000000026</v>
      </c>
      <c r="E56">
        <f t="shared" si="3"/>
        <v>73.500800000000012</v>
      </c>
      <c r="F56">
        <f t="shared" si="4"/>
        <v>62.48</v>
      </c>
    </row>
    <row r="57" spans="3:6" x14ac:dyDescent="0.25">
      <c r="C57">
        <f t="shared" si="2"/>
        <v>0.49000000000000027</v>
      </c>
      <c r="E57">
        <f t="shared" si="3"/>
        <v>74.250100000000032</v>
      </c>
      <c r="F57">
        <f t="shared" si="4"/>
        <v>62.494999999999997</v>
      </c>
    </row>
    <row r="58" spans="3:6" x14ac:dyDescent="0.25">
      <c r="C58">
        <f t="shared" si="2"/>
        <v>0.50000000000000022</v>
      </c>
      <c r="E58">
        <f t="shared" si="3"/>
        <v>75.000000000000014</v>
      </c>
      <c r="F58">
        <f t="shared" si="4"/>
        <v>62.5</v>
      </c>
    </row>
    <row r="59" spans="3:6" x14ac:dyDescent="0.25">
      <c r="C59">
        <f t="shared" si="2"/>
        <v>0.51000000000000023</v>
      </c>
      <c r="E59">
        <f t="shared" si="3"/>
        <v>75.749900000000011</v>
      </c>
      <c r="F59">
        <f t="shared" si="4"/>
        <v>62.494999999999997</v>
      </c>
    </row>
    <row r="60" spans="3:6" x14ac:dyDescent="0.25">
      <c r="C60">
        <f t="shared" si="2"/>
        <v>0.52000000000000024</v>
      </c>
      <c r="E60">
        <f t="shared" si="3"/>
        <v>76.49920000000003</v>
      </c>
      <c r="F60">
        <f t="shared" si="4"/>
        <v>62.48</v>
      </c>
    </row>
    <row r="61" spans="3:6" x14ac:dyDescent="0.25">
      <c r="C61">
        <f t="shared" si="2"/>
        <v>0.53000000000000025</v>
      </c>
      <c r="E61">
        <f t="shared" si="3"/>
        <v>77.247300000000024</v>
      </c>
      <c r="F61">
        <f t="shared" si="4"/>
        <v>62.454999999999998</v>
      </c>
    </row>
    <row r="62" spans="3:6" x14ac:dyDescent="0.25">
      <c r="C62">
        <f t="shared" si="2"/>
        <v>0.54000000000000026</v>
      </c>
      <c r="E62">
        <f t="shared" si="3"/>
        <v>77.993600000000015</v>
      </c>
      <c r="F62">
        <f t="shared" si="4"/>
        <v>62.419999999999995</v>
      </c>
    </row>
    <row r="63" spans="3:6" x14ac:dyDescent="0.25">
      <c r="C63">
        <f t="shared" si="2"/>
        <v>0.55000000000000027</v>
      </c>
      <c r="E63">
        <f t="shared" si="3"/>
        <v>78.737500000000026</v>
      </c>
      <c r="F63">
        <f t="shared" si="4"/>
        <v>62.375</v>
      </c>
    </row>
    <row r="64" spans="3:6" x14ac:dyDescent="0.25">
      <c r="C64">
        <f t="shared" si="2"/>
        <v>0.56000000000000028</v>
      </c>
      <c r="E64">
        <f t="shared" si="3"/>
        <v>79.478400000000022</v>
      </c>
      <c r="F64">
        <f t="shared" si="4"/>
        <v>62.319999999999993</v>
      </c>
    </row>
    <row r="65" spans="3:6" x14ac:dyDescent="0.25">
      <c r="C65">
        <f t="shared" si="2"/>
        <v>0.57000000000000028</v>
      </c>
      <c r="E65">
        <f t="shared" si="3"/>
        <v>80.215700000000012</v>
      </c>
      <c r="F65">
        <f t="shared" si="4"/>
        <v>62.255000000000003</v>
      </c>
    </row>
    <row r="66" spans="3:6" x14ac:dyDescent="0.25">
      <c r="C66">
        <f t="shared" si="2"/>
        <v>0.58000000000000029</v>
      </c>
      <c r="E66">
        <f t="shared" si="3"/>
        <v>80.948800000000034</v>
      </c>
      <c r="F66">
        <f t="shared" si="4"/>
        <v>62.179999999999993</v>
      </c>
    </row>
    <row r="67" spans="3:6" x14ac:dyDescent="0.25">
      <c r="C67">
        <f t="shared" si="2"/>
        <v>0.5900000000000003</v>
      </c>
      <c r="E67">
        <f t="shared" si="3"/>
        <v>81.677100000000024</v>
      </c>
      <c r="F67">
        <f t="shared" si="4"/>
        <v>62.094999999999999</v>
      </c>
    </row>
    <row r="68" spans="3:6" x14ac:dyDescent="0.25">
      <c r="C68">
        <f t="shared" si="2"/>
        <v>0.60000000000000031</v>
      </c>
      <c r="E68">
        <f t="shared" si="3"/>
        <v>82.400000000000034</v>
      </c>
      <c r="F68">
        <f t="shared" si="4"/>
        <v>62</v>
      </c>
    </row>
    <row r="69" spans="3:6" x14ac:dyDescent="0.25">
      <c r="C69">
        <f t="shared" si="2"/>
        <v>0.61000000000000032</v>
      </c>
      <c r="E69">
        <f t="shared" si="3"/>
        <v>83.11690000000003</v>
      </c>
      <c r="F69">
        <f t="shared" si="4"/>
        <v>61.894999999999996</v>
      </c>
    </row>
    <row r="70" spans="3:6" x14ac:dyDescent="0.25">
      <c r="C70">
        <f t="shared" si="2"/>
        <v>0.62000000000000033</v>
      </c>
      <c r="E70">
        <f t="shared" si="3"/>
        <v>83.827200000000019</v>
      </c>
      <c r="F70">
        <f t="shared" si="4"/>
        <v>61.779999999999994</v>
      </c>
    </row>
    <row r="71" spans="3:6" x14ac:dyDescent="0.25">
      <c r="C71">
        <f t="shared" si="2"/>
        <v>0.63000000000000034</v>
      </c>
      <c r="E71">
        <f t="shared" si="3"/>
        <v>84.530300000000011</v>
      </c>
      <c r="F71">
        <f t="shared" si="4"/>
        <v>61.654999999999994</v>
      </c>
    </row>
    <row r="72" spans="3:6" x14ac:dyDescent="0.25">
      <c r="C72">
        <f t="shared" si="2"/>
        <v>0.64000000000000035</v>
      </c>
      <c r="E72">
        <f t="shared" si="3"/>
        <v>85.225600000000028</v>
      </c>
      <c r="F72">
        <f t="shared" si="4"/>
        <v>61.519999999999996</v>
      </c>
    </row>
    <row r="73" spans="3:6" x14ac:dyDescent="0.25">
      <c r="C73">
        <f t="shared" si="2"/>
        <v>0.65000000000000036</v>
      </c>
      <c r="E73">
        <f t="shared" si="3"/>
        <v>85.912500000000023</v>
      </c>
      <c r="F73">
        <f t="shared" si="4"/>
        <v>61.374999999999993</v>
      </c>
    </row>
    <row r="74" spans="3:6" x14ac:dyDescent="0.25">
      <c r="C74">
        <f t="shared" ref="C74:C137" si="5">C73+0.01</f>
        <v>0.66000000000000036</v>
      </c>
      <c r="E74">
        <f t="shared" si="3"/>
        <v>86.590400000000031</v>
      </c>
      <c r="F74">
        <f t="shared" si="4"/>
        <v>61.22</v>
      </c>
    </row>
    <row r="75" spans="3:6" x14ac:dyDescent="0.25">
      <c r="C75">
        <f t="shared" si="5"/>
        <v>0.67000000000000037</v>
      </c>
      <c r="E75">
        <f t="shared" si="3"/>
        <v>87.258700000000019</v>
      </c>
      <c r="F75">
        <f t="shared" si="4"/>
        <v>61.054999999999993</v>
      </c>
    </row>
    <row r="76" spans="3:6" x14ac:dyDescent="0.25">
      <c r="C76">
        <f t="shared" si="5"/>
        <v>0.68000000000000038</v>
      </c>
      <c r="E76">
        <f t="shared" si="3"/>
        <v>87.916800000000023</v>
      </c>
      <c r="F76">
        <f t="shared" si="4"/>
        <v>60.879999999999995</v>
      </c>
    </row>
    <row r="77" spans="3:6" x14ac:dyDescent="0.25">
      <c r="C77">
        <f t="shared" si="5"/>
        <v>0.69000000000000039</v>
      </c>
      <c r="E77">
        <f t="shared" si="3"/>
        <v>88.564100000000025</v>
      </c>
      <c r="F77">
        <f t="shared" si="4"/>
        <v>60.694999999999993</v>
      </c>
    </row>
    <row r="78" spans="3:6" x14ac:dyDescent="0.25">
      <c r="C78">
        <f t="shared" si="5"/>
        <v>0.7000000000000004</v>
      </c>
      <c r="E78">
        <f t="shared" si="3"/>
        <v>89.200000000000017</v>
      </c>
      <c r="F78">
        <f t="shared" si="4"/>
        <v>60.5</v>
      </c>
    </row>
    <row r="79" spans="3:6" x14ac:dyDescent="0.25">
      <c r="C79">
        <f t="shared" si="5"/>
        <v>0.71000000000000041</v>
      </c>
      <c r="E79">
        <f t="shared" si="3"/>
        <v>89.823900000000009</v>
      </c>
      <c r="F79">
        <f t="shared" si="4"/>
        <v>60.294999999999987</v>
      </c>
    </row>
    <row r="80" spans="3:6" x14ac:dyDescent="0.25">
      <c r="C80">
        <f t="shared" si="5"/>
        <v>0.72000000000000042</v>
      </c>
      <c r="E80">
        <f t="shared" si="3"/>
        <v>90.435200000000023</v>
      </c>
      <c r="F80">
        <f t="shared" si="4"/>
        <v>60.079999999999991</v>
      </c>
    </row>
    <row r="81" spans="3:6" x14ac:dyDescent="0.25">
      <c r="C81">
        <f t="shared" si="5"/>
        <v>0.73000000000000043</v>
      </c>
      <c r="E81">
        <f t="shared" si="3"/>
        <v>91.033300000000025</v>
      </c>
      <c r="F81">
        <f t="shared" si="4"/>
        <v>59.854999999999983</v>
      </c>
    </row>
    <row r="82" spans="3:6" x14ac:dyDescent="0.25">
      <c r="C82">
        <f t="shared" si="5"/>
        <v>0.74000000000000044</v>
      </c>
      <c r="E82">
        <f t="shared" si="3"/>
        <v>91.617600000000039</v>
      </c>
      <c r="F82">
        <f t="shared" si="4"/>
        <v>59.61999999999999</v>
      </c>
    </row>
    <row r="83" spans="3:6" x14ac:dyDescent="0.25">
      <c r="C83">
        <f t="shared" si="5"/>
        <v>0.75000000000000044</v>
      </c>
      <c r="E83">
        <f t="shared" si="3"/>
        <v>92.187500000000014</v>
      </c>
      <c r="F83">
        <f t="shared" si="4"/>
        <v>59.374999999999986</v>
      </c>
    </row>
    <row r="84" spans="3:6" x14ac:dyDescent="0.25">
      <c r="C84">
        <f t="shared" si="5"/>
        <v>0.76000000000000045</v>
      </c>
      <c r="E84">
        <f t="shared" si="3"/>
        <v>92.742400000000018</v>
      </c>
      <c r="F84">
        <f t="shared" si="4"/>
        <v>59.11999999999999</v>
      </c>
    </row>
    <row r="85" spans="3:6" x14ac:dyDescent="0.25">
      <c r="C85">
        <f t="shared" si="5"/>
        <v>0.77000000000000046</v>
      </c>
      <c r="E85">
        <f t="shared" si="3"/>
        <v>93.281700000000043</v>
      </c>
      <c r="F85">
        <f t="shared" si="4"/>
        <v>58.854999999999983</v>
      </c>
    </row>
    <row r="86" spans="3:6" x14ac:dyDescent="0.25">
      <c r="C86">
        <f t="shared" si="5"/>
        <v>0.78000000000000047</v>
      </c>
      <c r="E86">
        <f t="shared" si="3"/>
        <v>93.804800000000029</v>
      </c>
      <c r="F86">
        <f t="shared" si="4"/>
        <v>58.579999999999984</v>
      </c>
    </row>
    <row r="87" spans="3:6" x14ac:dyDescent="0.25">
      <c r="C87">
        <f t="shared" si="5"/>
        <v>0.79000000000000048</v>
      </c>
      <c r="E87">
        <f t="shared" si="3"/>
        <v>94.311100000000025</v>
      </c>
      <c r="F87">
        <f t="shared" si="4"/>
        <v>58.29499999999998</v>
      </c>
    </row>
    <row r="88" spans="3:6" x14ac:dyDescent="0.25">
      <c r="C88">
        <f t="shared" si="5"/>
        <v>0.80000000000000049</v>
      </c>
      <c r="E88">
        <f t="shared" si="3"/>
        <v>94.800000000000026</v>
      </c>
      <c r="F88">
        <f t="shared" si="4"/>
        <v>57.999999999999986</v>
      </c>
    </row>
    <row r="89" spans="3:6" x14ac:dyDescent="0.25">
      <c r="C89">
        <f t="shared" si="5"/>
        <v>0.8100000000000005</v>
      </c>
      <c r="E89">
        <f t="shared" si="3"/>
        <v>95.270900000000026</v>
      </c>
      <c r="F89">
        <f t="shared" si="4"/>
        <v>57.694999999999986</v>
      </c>
    </row>
    <row r="90" spans="3:6" x14ac:dyDescent="0.25">
      <c r="C90">
        <f t="shared" si="5"/>
        <v>0.82000000000000051</v>
      </c>
      <c r="E90">
        <f t="shared" si="3"/>
        <v>95.723200000000034</v>
      </c>
      <c r="F90">
        <f t="shared" si="4"/>
        <v>57.379999999999981</v>
      </c>
    </row>
    <row r="91" spans="3:6" x14ac:dyDescent="0.25">
      <c r="C91">
        <f t="shared" si="5"/>
        <v>0.83000000000000052</v>
      </c>
      <c r="E91">
        <f t="shared" si="3"/>
        <v>96.15630000000003</v>
      </c>
      <c r="F91">
        <f t="shared" si="4"/>
        <v>57.054999999999986</v>
      </c>
    </row>
    <row r="92" spans="3:6" x14ac:dyDescent="0.25">
      <c r="C92">
        <f t="shared" si="5"/>
        <v>0.84000000000000052</v>
      </c>
      <c r="E92">
        <f t="shared" si="3"/>
        <v>96.569600000000023</v>
      </c>
      <c r="F92">
        <f t="shared" si="4"/>
        <v>56.719999999999985</v>
      </c>
    </row>
    <row r="93" spans="3:6" x14ac:dyDescent="0.25">
      <c r="C93">
        <f t="shared" si="5"/>
        <v>0.85000000000000053</v>
      </c>
      <c r="E93">
        <f t="shared" ref="E93:E108" si="6">$C$2*(2*C93^3 - 3*C93^2+1)+$C$5*(-2*C93^3+3*C93^2)+$G$3*(C93^3-2*C93^2+C93)+$G$4*(C93^3-C93^2)</f>
        <v>96.96250000000002</v>
      </c>
      <c r="F93">
        <f t="shared" ref="F93:F108" si="7">$D$2*(2*C93^3 - 3*C93^2+1)+$D$5*(-2*C93^3+3*C93^2)+$H$3*(C93^3-2*C93^2+C93)+$H$4*(C93^3-C93^2)</f>
        <v>56.374999999999979</v>
      </c>
    </row>
    <row r="94" spans="3:6" x14ac:dyDescent="0.25">
      <c r="C94">
        <f t="shared" si="5"/>
        <v>0.86000000000000054</v>
      </c>
      <c r="E94">
        <f t="shared" si="6"/>
        <v>97.334400000000002</v>
      </c>
      <c r="F94">
        <f t="shared" si="7"/>
        <v>56.019999999999982</v>
      </c>
    </row>
    <row r="95" spans="3:6" x14ac:dyDescent="0.25">
      <c r="C95">
        <f t="shared" si="5"/>
        <v>0.87000000000000055</v>
      </c>
      <c r="E95">
        <f t="shared" si="6"/>
        <v>97.684700000000021</v>
      </c>
      <c r="F95">
        <f t="shared" si="7"/>
        <v>55.654999999999987</v>
      </c>
    </row>
    <row r="96" spans="3:6" x14ac:dyDescent="0.25">
      <c r="C96">
        <f t="shared" si="5"/>
        <v>0.88000000000000056</v>
      </c>
      <c r="E96">
        <f t="shared" si="6"/>
        <v>98.012800000000013</v>
      </c>
      <c r="F96">
        <f t="shared" si="7"/>
        <v>55.27999999999998</v>
      </c>
    </row>
    <row r="97" spans="3:6" x14ac:dyDescent="0.25">
      <c r="C97">
        <f t="shared" si="5"/>
        <v>0.89000000000000057</v>
      </c>
      <c r="E97">
        <f t="shared" si="6"/>
        <v>98.31810000000003</v>
      </c>
      <c r="F97">
        <f t="shared" si="7"/>
        <v>54.894999999999982</v>
      </c>
    </row>
    <row r="98" spans="3:6" x14ac:dyDescent="0.25">
      <c r="C98">
        <f t="shared" si="5"/>
        <v>0.90000000000000058</v>
      </c>
      <c r="E98">
        <f t="shared" si="6"/>
        <v>98.600000000000023</v>
      </c>
      <c r="F98">
        <f t="shared" si="7"/>
        <v>54.499999999999979</v>
      </c>
    </row>
    <row r="99" spans="3:6" x14ac:dyDescent="0.25">
      <c r="C99">
        <f t="shared" si="5"/>
        <v>0.91000000000000059</v>
      </c>
      <c r="E99">
        <f t="shared" si="6"/>
        <v>98.857900000000029</v>
      </c>
      <c r="F99">
        <f t="shared" si="7"/>
        <v>54.09499999999997</v>
      </c>
    </row>
    <row r="100" spans="3:6" x14ac:dyDescent="0.25">
      <c r="C100">
        <f t="shared" si="5"/>
        <v>0.9200000000000006</v>
      </c>
      <c r="E100">
        <f t="shared" si="6"/>
        <v>99.091200000000015</v>
      </c>
      <c r="F100">
        <f t="shared" si="7"/>
        <v>53.679999999999978</v>
      </c>
    </row>
    <row r="101" spans="3:6" x14ac:dyDescent="0.25">
      <c r="C101">
        <f t="shared" si="5"/>
        <v>0.9300000000000006</v>
      </c>
      <c r="E101">
        <f t="shared" si="6"/>
        <v>99.299300000000002</v>
      </c>
      <c r="F101">
        <f t="shared" si="7"/>
        <v>53.254999999999974</v>
      </c>
    </row>
    <row r="102" spans="3:6" x14ac:dyDescent="0.25">
      <c r="C102">
        <f t="shared" si="5"/>
        <v>0.94000000000000061</v>
      </c>
      <c r="E102">
        <f t="shared" si="6"/>
        <v>99.4816</v>
      </c>
      <c r="F102">
        <f t="shared" si="7"/>
        <v>52.819999999999972</v>
      </c>
    </row>
    <row r="103" spans="3:6" x14ac:dyDescent="0.25">
      <c r="C103">
        <f t="shared" si="5"/>
        <v>0.95000000000000062</v>
      </c>
      <c r="E103">
        <f t="shared" si="6"/>
        <v>99.637500000000003</v>
      </c>
      <c r="F103">
        <f t="shared" si="7"/>
        <v>52.374999999999972</v>
      </c>
    </row>
    <row r="104" spans="3:6" x14ac:dyDescent="0.25">
      <c r="C104">
        <f t="shared" si="5"/>
        <v>0.96000000000000063</v>
      </c>
      <c r="E104">
        <f t="shared" si="6"/>
        <v>99.766400000000019</v>
      </c>
      <c r="F104">
        <f t="shared" si="7"/>
        <v>51.919999999999973</v>
      </c>
    </row>
    <row r="105" spans="3:6" x14ac:dyDescent="0.25">
      <c r="C105">
        <f t="shared" si="5"/>
        <v>0.97000000000000064</v>
      </c>
      <c r="E105">
        <f t="shared" si="6"/>
        <v>99.867700000000013</v>
      </c>
      <c r="F105">
        <f t="shared" si="7"/>
        <v>51.454999999999963</v>
      </c>
    </row>
    <row r="106" spans="3:6" x14ac:dyDescent="0.25">
      <c r="C106">
        <f t="shared" si="5"/>
        <v>0.98000000000000065</v>
      </c>
      <c r="E106">
        <f t="shared" si="6"/>
        <v>99.94080000000001</v>
      </c>
      <c r="F106">
        <f t="shared" si="7"/>
        <v>50.979999999999968</v>
      </c>
    </row>
    <row r="107" spans="3:6" x14ac:dyDescent="0.25">
      <c r="C107">
        <f t="shared" si="5"/>
        <v>0.99000000000000066</v>
      </c>
      <c r="E107">
        <f t="shared" si="6"/>
        <v>99.985100000000017</v>
      </c>
      <c r="F107">
        <f t="shared" si="7"/>
        <v>50.494999999999969</v>
      </c>
    </row>
    <row r="108" spans="3:6" x14ac:dyDescent="0.25">
      <c r="C108">
        <f t="shared" si="5"/>
        <v>1.0000000000000007</v>
      </c>
      <c r="E108">
        <f t="shared" si="6"/>
        <v>100</v>
      </c>
      <c r="F108">
        <f t="shared" si="7"/>
        <v>49.999999999999964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108"/>
  <sheetViews>
    <sheetView topLeftCell="A6" workbookViewId="0">
      <selection activeCell="I16" sqref="I16"/>
    </sheetView>
  </sheetViews>
  <sheetFormatPr defaultRowHeight="15" x14ac:dyDescent="0.25"/>
  <sheetData>
    <row r="1" spans="2:23" x14ac:dyDescent="0.25">
      <c r="C1" t="s">
        <v>1</v>
      </c>
      <c r="D1" t="s">
        <v>2</v>
      </c>
      <c r="G1" t="s">
        <v>1</v>
      </c>
      <c r="H1" t="s">
        <v>2</v>
      </c>
    </row>
    <row r="2" spans="2:23" x14ac:dyDescent="0.25">
      <c r="B2" t="s">
        <v>3</v>
      </c>
      <c r="C2">
        <v>50</v>
      </c>
      <c r="D2">
        <v>50</v>
      </c>
    </row>
    <row r="3" spans="2:23" x14ac:dyDescent="0.25">
      <c r="B3" t="s">
        <v>5</v>
      </c>
      <c r="C3">
        <v>50</v>
      </c>
      <c r="D3">
        <v>100</v>
      </c>
      <c r="F3" t="s">
        <v>7</v>
      </c>
      <c r="G3">
        <f>3*(C3-C2)</f>
        <v>0</v>
      </c>
      <c r="H3">
        <f>3*(D3-D2)</f>
        <v>150</v>
      </c>
    </row>
    <row r="4" spans="2:23" x14ac:dyDescent="0.25">
      <c r="B4" t="s">
        <v>6</v>
      </c>
      <c r="C4">
        <v>100</v>
      </c>
      <c r="D4">
        <v>100</v>
      </c>
      <c r="F4" t="s">
        <v>8</v>
      </c>
      <c r="G4">
        <f>3*(C4-C5)</f>
        <v>0</v>
      </c>
      <c r="H4">
        <f>3*(D4-D5)</f>
        <v>150</v>
      </c>
    </row>
    <row r="5" spans="2:23" x14ac:dyDescent="0.25">
      <c r="B5" t="s">
        <v>4</v>
      </c>
      <c r="C5">
        <v>100</v>
      </c>
      <c r="D5">
        <v>50</v>
      </c>
    </row>
    <row r="7" spans="2:23" x14ac:dyDescent="0.25">
      <c r="C7" t="s">
        <v>0</v>
      </c>
      <c r="E7" t="s">
        <v>1</v>
      </c>
      <c r="F7" t="s">
        <v>2</v>
      </c>
    </row>
    <row r="8" spans="2:23" x14ac:dyDescent="0.25">
      <c r="C8">
        <v>0</v>
      </c>
      <c r="E8">
        <f>(1-$C8)^3*$C$2+3*$C8*(1-$C8)^2*$G$3+3*$C8^2*(1-$C8)*$G$4+$C8^3*$C$5</f>
        <v>50</v>
      </c>
      <c r="F8">
        <f>(1-$C8)^3*$D$2+3*$C8*(1-$C8)^2*$H$3+3*$C8^2*(1-$C8)*$H$4+$C8^3*$D$5</f>
        <v>50</v>
      </c>
    </row>
    <row r="9" spans="2:23" x14ac:dyDescent="0.25">
      <c r="C9">
        <f>C8+0.01</f>
        <v>0.01</v>
      </c>
      <c r="E9">
        <f t="shared" ref="E9:F40" si="0">(1-$C9)^3*$C$2+3*$C9*(1-$C9)^2*$G$3+3*$C9^2*(1-$C9)*$G$4+$C9^3*$C$5</f>
        <v>48.515050000000002</v>
      </c>
      <c r="F9">
        <f t="shared" ref="F9:F72" si="1">(1-$C9)^3*$D$2+3*$C9*(1-$C9)^2*$H$3+3*$C9^2*(1-$C9)*$H$4+$C9^3*$D$5</f>
        <v>52.97</v>
      </c>
    </row>
    <row r="10" spans="2:23" x14ac:dyDescent="0.25">
      <c r="C10">
        <f t="shared" ref="C10:C73" si="2">C9+0.01</f>
        <v>0.02</v>
      </c>
      <c r="E10">
        <f t="shared" si="0"/>
        <v>47.060399999999994</v>
      </c>
      <c r="F10">
        <f t="shared" si="1"/>
        <v>55.879999999999995</v>
      </c>
    </row>
    <row r="11" spans="2:23" x14ac:dyDescent="0.25">
      <c r="C11">
        <f t="shared" si="2"/>
        <v>0.03</v>
      </c>
      <c r="E11">
        <f t="shared" si="0"/>
        <v>45.636349999999993</v>
      </c>
      <c r="F11">
        <f t="shared" si="1"/>
        <v>58.73</v>
      </c>
    </row>
    <row r="12" spans="2:23" x14ac:dyDescent="0.25">
      <c r="C12">
        <f t="shared" si="2"/>
        <v>0.04</v>
      </c>
      <c r="E12">
        <f t="shared" si="0"/>
        <v>44.243199999999995</v>
      </c>
      <c r="F12">
        <f t="shared" si="1"/>
        <v>61.519999999999996</v>
      </c>
      <c r="R12" t="e">
        <f>mat</f>
        <v>#NAME?</v>
      </c>
    </row>
    <row r="13" spans="2:23" x14ac:dyDescent="0.25">
      <c r="C13">
        <f t="shared" si="2"/>
        <v>0.05</v>
      </c>
      <c r="E13">
        <f t="shared" si="0"/>
        <v>42.881249999999994</v>
      </c>
      <c r="F13">
        <f t="shared" si="1"/>
        <v>64.249999999999986</v>
      </c>
    </row>
    <row r="14" spans="2:23" x14ac:dyDescent="0.25">
      <c r="C14">
        <f t="shared" si="2"/>
        <v>6.0000000000000005E-2</v>
      </c>
      <c r="E14">
        <f t="shared" si="0"/>
        <v>41.550799999999995</v>
      </c>
      <c r="F14">
        <f t="shared" si="1"/>
        <v>66.92</v>
      </c>
      <c r="P14" t="s">
        <v>10</v>
      </c>
      <c r="R14" s="1" t="s">
        <v>9</v>
      </c>
      <c r="S14" s="1"/>
      <c r="T14" s="1"/>
      <c r="U14" s="1"/>
      <c r="W14" t="s">
        <v>11</v>
      </c>
    </row>
    <row r="15" spans="2:23" x14ac:dyDescent="0.25">
      <c r="C15">
        <f t="shared" si="2"/>
        <v>7.0000000000000007E-2</v>
      </c>
      <c r="E15">
        <f t="shared" si="0"/>
        <v>40.252149999999993</v>
      </c>
      <c r="F15">
        <f t="shared" si="1"/>
        <v>69.53</v>
      </c>
    </row>
    <row r="16" spans="2:23" x14ac:dyDescent="0.25">
      <c r="C16">
        <f t="shared" si="2"/>
        <v>0.08</v>
      </c>
      <c r="E16">
        <f t="shared" si="0"/>
        <v>38.985600000000005</v>
      </c>
      <c r="F16">
        <f t="shared" si="1"/>
        <v>72.080000000000013</v>
      </c>
      <c r="P16">
        <f>C8^3</f>
        <v>0</v>
      </c>
      <c r="R16">
        <v>-1</v>
      </c>
      <c r="S16">
        <v>3</v>
      </c>
      <c r="T16">
        <v>-3</v>
      </c>
      <c r="U16">
        <v>1</v>
      </c>
      <c r="W16" t="e">
        <f>MMULT(P16:P19,R16:U19)</f>
        <v>#VALUE!</v>
      </c>
    </row>
    <row r="17" spans="3:23" x14ac:dyDescent="0.25">
      <c r="C17">
        <f t="shared" si="2"/>
        <v>0.09</v>
      </c>
      <c r="E17">
        <f t="shared" si="0"/>
        <v>37.751450000000006</v>
      </c>
      <c r="F17">
        <f t="shared" si="1"/>
        <v>74.570000000000022</v>
      </c>
      <c r="P17">
        <f>C8^2</f>
        <v>0</v>
      </c>
      <c r="R17">
        <v>3</v>
      </c>
      <c r="S17">
        <v>-6</v>
      </c>
      <c r="T17">
        <v>3</v>
      </c>
      <c r="U17">
        <v>0</v>
      </c>
      <c r="W17" t="e">
        <f t="shared" ref="W17:W19" si="3">MMULT(P17:P20,R17:U20)</f>
        <v>#VALUE!</v>
      </c>
    </row>
    <row r="18" spans="3:23" x14ac:dyDescent="0.25">
      <c r="C18">
        <f t="shared" si="2"/>
        <v>9.9999999999999992E-2</v>
      </c>
      <c r="E18">
        <f t="shared" si="0"/>
        <v>36.550000000000004</v>
      </c>
      <c r="F18">
        <f t="shared" si="1"/>
        <v>77</v>
      </c>
      <c r="P18">
        <f>C8</f>
        <v>0</v>
      </c>
      <c r="R18">
        <v>-3</v>
      </c>
      <c r="S18">
        <v>3</v>
      </c>
      <c r="T18">
        <v>0</v>
      </c>
      <c r="U18">
        <v>0</v>
      </c>
      <c r="W18" t="e">
        <f t="shared" si="3"/>
        <v>#VALUE!</v>
      </c>
    </row>
    <row r="19" spans="3:23" x14ac:dyDescent="0.25">
      <c r="C19">
        <f t="shared" si="2"/>
        <v>0.10999999999999999</v>
      </c>
      <c r="E19">
        <f t="shared" si="0"/>
        <v>35.381550000000004</v>
      </c>
      <c r="F19">
        <f t="shared" si="1"/>
        <v>79.370000000000019</v>
      </c>
      <c r="P19">
        <v>1</v>
      </c>
      <c r="R19">
        <v>1</v>
      </c>
      <c r="S19">
        <v>0</v>
      </c>
      <c r="T19">
        <v>0</v>
      </c>
      <c r="U19">
        <v>0</v>
      </c>
      <c r="W19" t="e">
        <f t="shared" si="3"/>
        <v>#VALUE!</v>
      </c>
    </row>
    <row r="20" spans="3:23" x14ac:dyDescent="0.25">
      <c r="C20">
        <f t="shared" si="2"/>
        <v>0.11999999999999998</v>
      </c>
      <c r="E20">
        <f t="shared" si="0"/>
        <v>34.246400000000001</v>
      </c>
      <c r="F20">
        <f t="shared" si="1"/>
        <v>81.679999999999978</v>
      </c>
    </row>
    <row r="21" spans="3:23" x14ac:dyDescent="0.25">
      <c r="C21">
        <f t="shared" si="2"/>
        <v>0.12999999999999998</v>
      </c>
      <c r="E21">
        <f t="shared" si="0"/>
        <v>33.144850000000005</v>
      </c>
      <c r="F21">
        <f t="shared" si="1"/>
        <v>83.929999999999993</v>
      </c>
    </row>
    <row r="22" spans="3:23" x14ac:dyDescent="0.25">
      <c r="C22">
        <f t="shared" si="2"/>
        <v>0.13999999999999999</v>
      </c>
      <c r="E22">
        <f t="shared" si="0"/>
        <v>32.077199999999998</v>
      </c>
      <c r="F22">
        <f t="shared" si="1"/>
        <v>86.119999999999976</v>
      </c>
    </row>
    <row r="23" spans="3:23" x14ac:dyDescent="0.25">
      <c r="C23">
        <f t="shared" si="2"/>
        <v>0.15</v>
      </c>
      <c r="E23">
        <f t="shared" si="0"/>
        <v>31.043749999999996</v>
      </c>
      <c r="F23">
        <f t="shared" si="1"/>
        <v>88.25</v>
      </c>
    </row>
    <row r="24" spans="3:23" x14ac:dyDescent="0.25">
      <c r="C24">
        <f t="shared" si="2"/>
        <v>0.16</v>
      </c>
      <c r="E24">
        <f t="shared" si="0"/>
        <v>30.044799999999995</v>
      </c>
      <c r="F24">
        <f t="shared" si="1"/>
        <v>90.32</v>
      </c>
    </row>
    <row r="25" spans="3:23" x14ac:dyDescent="0.25">
      <c r="C25">
        <f t="shared" si="2"/>
        <v>0.17</v>
      </c>
      <c r="E25">
        <f t="shared" si="0"/>
        <v>29.080649999999995</v>
      </c>
      <c r="F25">
        <f t="shared" si="1"/>
        <v>92.33</v>
      </c>
    </row>
    <row r="26" spans="3:23" x14ac:dyDescent="0.25">
      <c r="C26">
        <f t="shared" si="2"/>
        <v>0.18000000000000002</v>
      </c>
      <c r="E26">
        <f t="shared" si="0"/>
        <v>28.151599999999995</v>
      </c>
      <c r="F26">
        <f t="shared" si="1"/>
        <v>94.28</v>
      </c>
    </row>
    <row r="27" spans="3:23" x14ac:dyDescent="0.25">
      <c r="C27">
        <f t="shared" si="2"/>
        <v>0.19000000000000003</v>
      </c>
      <c r="E27">
        <f t="shared" si="0"/>
        <v>27.25794999999999</v>
      </c>
      <c r="F27">
        <f t="shared" si="1"/>
        <v>96.17</v>
      </c>
    </row>
    <row r="28" spans="3:23" x14ac:dyDescent="0.25">
      <c r="C28">
        <f t="shared" si="2"/>
        <v>0.20000000000000004</v>
      </c>
      <c r="E28">
        <f t="shared" si="0"/>
        <v>26.399999999999995</v>
      </c>
      <c r="F28">
        <f t="shared" si="1"/>
        <v>98</v>
      </c>
    </row>
    <row r="29" spans="3:23" x14ac:dyDescent="0.25">
      <c r="C29">
        <f t="shared" si="2"/>
        <v>0.21000000000000005</v>
      </c>
      <c r="E29">
        <f t="shared" si="0"/>
        <v>25.578049999999994</v>
      </c>
      <c r="F29">
        <f t="shared" si="1"/>
        <v>99.77</v>
      </c>
    </row>
    <row r="30" spans="3:23" x14ac:dyDescent="0.25">
      <c r="C30">
        <f t="shared" si="2"/>
        <v>0.22000000000000006</v>
      </c>
      <c r="E30">
        <f t="shared" si="0"/>
        <v>24.792399999999994</v>
      </c>
      <c r="F30">
        <f t="shared" si="1"/>
        <v>101.47999999999999</v>
      </c>
    </row>
    <row r="31" spans="3:23" x14ac:dyDescent="0.25">
      <c r="C31">
        <f t="shared" si="2"/>
        <v>0.23000000000000007</v>
      </c>
      <c r="E31">
        <f t="shared" si="0"/>
        <v>24.043349999999997</v>
      </c>
      <c r="F31">
        <f t="shared" si="1"/>
        <v>103.13000000000001</v>
      </c>
    </row>
    <row r="32" spans="3:23" x14ac:dyDescent="0.25">
      <c r="C32">
        <f t="shared" si="2"/>
        <v>0.24000000000000007</v>
      </c>
      <c r="E32">
        <f t="shared" si="0"/>
        <v>23.331199999999995</v>
      </c>
      <c r="F32">
        <f t="shared" si="1"/>
        <v>104.72</v>
      </c>
    </row>
    <row r="33" spans="3:6" x14ac:dyDescent="0.25">
      <c r="C33">
        <f t="shared" si="2"/>
        <v>0.25000000000000006</v>
      </c>
      <c r="E33">
        <f t="shared" si="0"/>
        <v>22.65625</v>
      </c>
      <c r="F33">
        <f t="shared" si="1"/>
        <v>106.25000000000003</v>
      </c>
    </row>
    <row r="34" spans="3:6" x14ac:dyDescent="0.25">
      <c r="C34">
        <f t="shared" si="2"/>
        <v>0.26000000000000006</v>
      </c>
      <c r="E34">
        <f t="shared" si="0"/>
        <v>22.018799999999999</v>
      </c>
      <c r="F34">
        <f t="shared" si="1"/>
        <v>107.72000000000004</v>
      </c>
    </row>
    <row r="35" spans="3:6" x14ac:dyDescent="0.25">
      <c r="C35">
        <f t="shared" si="2"/>
        <v>0.27000000000000007</v>
      </c>
      <c r="E35">
        <f t="shared" si="0"/>
        <v>21.419149999999998</v>
      </c>
      <c r="F35">
        <f t="shared" si="1"/>
        <v>109.13000000000002</v>
      </c>
    </row>
    <row r="36" spans="3:6" x14ac:dyDescent="0.25">
      <c r="C36">
        <f t="shared" si="2"/>
        <v>0.28000000000000008</v>
      </c>
      <c r="E36">
        <f t="shared" si="0"/>
        <v>20.857599999999998</v>
      </c>
      <c r="F36">
        <f t="shared" si="1"/>
        <v>110.48000000000003</v>
      </c>
    </row>
    <row r="37" spans="3:6" x14ac:dyDescent="0.25">
      <c r="C37">
        <f t="shared" si="2"/>
        <v>0.29000000000000009</v>
      </c>
      <c r="E37">
        <f t="shared" si="0"/>
        <v>20.334450000000004</v>
      </c>
      <c r="F37">
        <f t="shared" si="1"/>
        <v>111.77000000000004</v>
      </c>
    </row>
    <row r="38" spans="3:6" x14ac:dyDescent="0.25">
      <c r="C38">
        <f t="shared" si="2"/>
        <v>0.3000000000000001</v>
      </c>
      <c r="E38">
        <f t="shared" si="0"/>
        <v>19.849999999999998</v>
      </c>
      <c r="F38">
        <f t="shared" si="1"/>
        <v>113.00000000000003</v>
      </c>
    </row>
    <row r="39" spans="3:6" x14ac:dyDescent="0.25">
      <c r="C39">
        <f t="shared" si="2"/>
        <v>0.31000000000000011</v>
      </c>
      <c r="E39">
        <f t="shared" si="0"/>
        <v>19.40455</v>
      </c>
      <c r="F39">
        <f t="shared" si="1"/>
        <v>114.17000000000003</v>
      </c>
    </row>
    <row r="40" spans="3:6" x14ac:dyDescent="0.25">
      <c r="C40">
        <f t="shared" si="2"/>
        <v>0.32000000000000012</v>
      </c>
      <c r="E40">
        <f t="shared" si="0"/>
        <v>18.9984</v>
      </c>
      <c r="F40">
        <f t="shared" si="1"/>
        <v>115.28000000000004</v>
      </c>
    </row>
    <row r="41" spans="3:6" x14ac:dyDescent="0.25">
      <c r="C41">
        <f t="shared" si="2"/>
        <v>0.33000000000000013</v>
      </c>
      <c r="E41">
        <f t="shared" ref="E41:F72" si="4">(1-$C41)^3*$C$2+3*$C41*(1-$C41)^2*$G$3+3*$C41^2*(1-$C41)*$G$4+$C41^3*$C$5</f>
        <v>18.63185</v>
      </c>
      <c r="F41">
        <f t="shared" si="1"/>
        <v>116.33000000000004</v>
      </c>
    </row>
    <row r="42" spans="3:6" x14ac:dyDescent="0.25">
      <c r="C42">
        <f t="shared" si="2"/>
        <v>0.34000000000000014</v>
      </c>
      <c r="E42">
        <f t="shared" si="4"/>
        <v>18.305199999999999</v>
      </c>
      <c r="F42">
        <f t="shared" si="1"/>
        <v>117.32000000000002</v>
      </c>
    </row>
    <row r="43" spans="3:6" x14ac:dyDescent="0.25">
      <c r="C43">
        <f t="shared" si="2"/>
        <v>0.35000000000000014</v>
      </c>
      <c r="E43">
        <f t="shared" si="4"/>
        <v>18.018750000000001</v>
      </c>
      <c r="F43">
        <f t="shared" si="1"/>
        <v>118.25000000000001</v>
      </c>
    </row>
    <row r="44" spans="3:6" x14ac:dyDescent="0.25">
      <c r="C44">
        <f t="shared" si="2"/>
        <v>0.36000000000000015</v>
      </c>
      <c r="E44">
        <f t="shared" si="4"/>
        <v>17.7728</v>
      </c>
      <c r="F44">
        <f t="shared" si="1"/>
        <v>119.12000000000003</v>
      </c>
    </row>
    <row r="45" spans="3:6" x14ac:dyDescent="0.25">
      <c r="C45">
        <f t="shared" si="2"/>
        <v>0.37000000000000016</v>
      </c>
      <c r="E45">
        <f t="shared" si="4"/>
        <v>17.56765</v>
      </c>
      <c r="F45">
        <f t="shared" si="1"/>
        <v>119.93000000000005</v>
      </c>
    </row>
    <row r="46" spans="3:6" x14ac:dyDescent="0.25">
      <c r="C46">
        <f t="shared" si="2"/>
        <v>0.38000000000000017</v>
      </c>
      <c r="E46">
        <f t="shared" si="4"/>
        <v>17.403600000000001</v>
      </c>
      <c r="F46">
        <f t="shared" si="1"/>
        <v>120.68000000000005</v>
      </c>
    </row>
    <row r="47" spans="3:6" x14ac:dyDescent="0.25">
      <c r="C47">
        <f t="shared" si="2"/>
        <v>0.39000000000000018</v>
      </c>
      <c r="E47">
        <f t="shared" si="4"/>
        <v>17.280950000000004</v>
      </c>
      <c r="F47">
        <f t="shared" si="1"/>
        <v>121.37000000000003</v>
      </c>
    </row>
    <row r="48" spans="3:6" x14ac:dyDescent="0.25">
      <c r="C48">
        <f t="shared" si="2"/>
        <v>0.40000000000000019</v>
      </c>
      <c r="E48">
        <f t="shared" si="4"/>
        <v>17.2</v>
      </c>
      <c r="F48">
        <f t="shared" si="1"/>
        <v>122.00000000000003</v>
      </c>
    </row>
    <row r="49" spans="3:6" x14ac:dyDescent="0.25">
      <c r="C49">
        <f t="shared" si="2"/>
        <v>0.4100000000000002</v>
      </c>
      <c r="E49">
        <f t="shared" si="4"/>
        <v>17.161050000000003</v>
      </c>
      <c r="F49">
        <f t="shared" si="1"/>
        <v>122.57000000000004</v>
      </c>
    </row>
    <row r="50" spans="3:6" x14ac:dyDescent="0.25">
      <c r="C50">
        <f t="shared" si="2"/>
        <v>0.42000000000000021</v>
      </c>
      <c r="E50">
        <f t="shared" si="4"/>
        <v>17.164400000000004</v>
      </c>
      <c r="F50">
        <f t="shared" si="1"/>
        <v>123.08000000000003</v>
      </c>
    </row>
    <row r="51" spans="3:6" x14ac:dyDescent="0.25">
      <c r="C51">
        <f t="shared" si="2"/>
        <v>0.43000000000000022</v>
      </c>
      <c r="E51">
        <f t="shared" si="4"/>
        <v>17.210350000000005</v>
      </c>
      <c r="F51">
        <f t="shared" si="1"/>
        <v>123.53000000000002</v>
      </c>
    </row>
    <row r="52" spans="3:6" x14ac:dyDescent="0.25">
      <c r="C52">
        <f t="shared" si="2"/>
        <v>0.44000000000000022</v>
      </c>
      <c r="E52">
        <f t="shared" si="4"/>
        <v>17.299200000000006</v>
      </c>
      <c r="F52">
        <f t="shared" si="1"/>
        <v>123.92000000000002</v>
      </c>
    </row>
    <row r="53" spans="3:6" x14ac:dyDescent="0.25">
      <c r="C53">
        <f t="shared" si="2"/>
        <v>0.45000000000000023</v>
      </c>
      <c r="E53">
        <f t="shared" si="4"/>
        <v>17.431250000000006</v>
      </c>
      <c r="F53">
        <f t="shared" si="1"/>
        <v>124.25000000000003</v>
      </c>
    </row>
    <row r="54" spans="3:6" x14ac:dyDescent="0.25">
      <c r="C54">
        <f t="shared" si="2"/>
        <v>0.46000000000000024</v>
      </c>
      <c r="E54">
        <f t="shared" si="4"/>
        <v>17.606800000000007</v>
      </c>
      <c r="F54">
        <f t="shared" si="1"/>
        <v>124.52000000000004</v>
      </c>
    </row>
    <row r="55" spans="3:6" x14ac:dyDescent="0.25">
      <c r="C55">
        <f t="shared" si="2"/>
        <v>0.47000000000000025</v>
      </c>
      <c r="E55">
        <f t="shared" si="4"/>
        <v>17.826150000000009</v>
      </c>
      <c r="F55">
        <f t="shared" si="1"/>
        <v>124.73000000000003</v>
      </c>
    </row>
    <row r="56" spans="3:6" x14ac:dyDescent="0.25">
      <c r="C56">
        <f t="shared" si="2"/>
        <v>0.48000000000000026</v>
      </c>
      <c r="E56">
        <f t="shared" si="4"/>
        <v>18.089600000000011</v>
      </c>
      <c r="F56">
        <f t="shared" si="1"/>
        <v>124.88000000000002</v>
      </c>
    </row>
    <row r="57" spans="3:6" x14ac:dyDescent="0.25">
      <c r="C57">
        <f t="shared" si="2"/>
        <v>0.49000000000000027</v>
      </c>
      <c r="E57">
        <f t="shared" si="4"/>
        <v>18.39745000000001</v>
      </c>
      <c r="F57">
        <f t="shared" si="1"/>
        <v>124.97000000000003</v>
      </c>
    </row>
    <row r="58" spans="3:6" x14ac:dyDescent="0.25">
      <c r="C58">
        <f t="shared" si="2"/>
        <v>0.50000000000000022</v>
      </c>
      <c r="E58">
        <f t="shared" si="4"/>
        <v>18.750000000000007</v>
      </c>
      <c r="F58">
        <f t="shared" si="1"/>
        <v>125.00000000000001</v>
      </c>
    </row>
    <row r="59" spans="3:6" x14ac:dyDescent="0.25">
      <c r="C59">
        <f t="shared" si="2"/>
        <v>0.51000000000000023</v>
      </c>
      <c r="E59">
        <f t="shared" si="4"/>
        <v>19.14755000000001</v>
      </c>
      <c r="F59">
        <f t="shared" si="1"/>
        <v>124.97</v>
      </c>
    </row>
    <row r="60" spans="3:6" x14ac:dyDescent="0.25">
      <c r="C60">
        <f t="shared" si="2"/>
        <v>0.52000000000000024</v>
      </c>
      <c r="E60">
        <f t="shared" si="4"/>
        <v>19.59040000000001</v>
      </c>
      <c r="F60">
        <f t="shared" si="1"/>
        <v>124.88</v>
      </c>
    </row>
    <row r="61" spans="3:6" x14ac:dyDescent="0.25">
      <c r="C61">
        <f t="shared" si="2"/>
        <v>0.53000000000000025</v>
      </c>
      <c r="E61">
        <f t="shared" si="4"/>
        <v>20.07885000000001</v>
      </c>
      <c r="F61">
        <f t="shared" si="1"/>
        <v>124.73</v>
      </c>
    </row>
    <row r="62" spans="3:6" x14ac:dyDescent="0.25">
      <c r="C62">
        <f t="shared" si="2"/>
        <v>0.54000000000000026</v>
      </c>
      <c r="E62">
        <f t="shared" si="4"/>
        <v>20.613200000000017</v>
      </c>
      <c r="F62">
        <f t="shared" si="1"/>
        <v>124.52</v>
      </c>
    </row>
    <row r="63" spans="3:6" x14ac:dyDescent="0.25">
      <c r="C63">
        <f t="shared" si="2"/>
        <v>0.55000000000000027</v>
      </c>
      <c r="E63">
        <f t="shared" si="4"/>
        <v>21.193750000000012</v>
      </c>
      <c r="F63">
        <f t="shared" si="1"/>
        <v>124.24999999999999</v>
      </c>
    </row>
    <row r="64" spans="3:6" x14ac:dyDescent="0.25">
      <c r="C64">
        <f t="shared" si="2"/>
        <v>0.56000000000000028</v>
      </c>
      <c r="E64">
        <f t="shared" si="4"/>
        <v>21.82080000000002</v>
      </c>
      <c r="F64">
        <f t="shared" si="1"/>
        <v>123.91999999999999</v>
      </c>
    </row>
    <row r="65" spans="3:6" x14ac:dyDescent="0.25">
      <c r="C65">
        <f t="shared" si="2"/>
        <v>0.57000000000000028</v>
      </c>
      <c r="E65">
        <f t="shared" si="4"/>
        <v>22.494650000000018</v>
      </c>
      <c r="F65">
        <f t="shared" si="1"/>
        <v>123.52999999999999</v>
      </c>
    </row>
    <row r="66" spans="3:6" x14ac:dyDescent="0.25">
      <c r="C66">
        <f t="shared" si="2"/>
        <v>0.58000000000000029</v>
      </c>
      <c r="E66">
        <f t="shared" si="4"/>
        <v>23.215600000000023</v>
      </c>
      <c r="F66">
        <f t="shared" si="1"/>
        <v>123.07999999999998</v>
      </c>
    </row>
    <row r="67" spans="3:6" x14ac:dyDescent="0.25">
      <c r="C67">
        <f t="shared" si="2"/>
        <v>0.5900000000000003</v>
      </c>
      <c r="E67">
        <f t="shared" si="4"/>
        <v>23.983950000000025</v>
      </c>
      <c r="F67">
        <f t="shared" si="1"/>
        <v>122.57</v>
      </c>
    </row>
    <row r="68" spans="3:6" x14ac:dyDescent="0.25">
      <c r="C68">
        <f t="shared" si="2"/>
        <v>0.60000000000000031</v>
      </c>
      <c r="E68">
        <f t="shared" si="4"/>
        <v>24.800000000000026</v>
      </c>
      <c r="F68">
        <f t="shared" si="1"/>
        <v>121.99999999999999</v>
      </c>
    </row>
    <row r="69" spans="3:6" x14ac:dyDescent="0.25">
      <c r="C69">
        <f t="shared" si="2"/>
        <v>0.61000000000000032</v>
      </c>
      <c r="E69">
        <f t="shared" si="4"/>
        <v>25.664050000000028</v>
      </c>
      <c r="F69">
        <f t="shared" si="1"/>
        <v>121.36999999999999</v>
      </c>
    </row>
    <row r="70" spans="3:6" x14ac:dyDescent="0.25">
      <c r="C70">
        <f t="shared" si="2"/>
        <v>0.62000000000000033</v>
      </c>
      <c r="E70">
        <f t="shared" si="4"/>
        <v>26.576400000000032</v>
      </c>
      <c r="F70">
        <f t="shared" si="1"/>
        <v>120.67999999999998</v>
      </c>
    </row>
    <row r="71" spans="3:6" x14ac:dyDescent="0.25">
      <c r="C71">
        <f t="shared" si="2"/>
        <v>0.63000000000000034</v>
      </c>
      <c r="E71">
        <f t="shared" si="4"/>
        <v>27.537350000000036</v>
      </c>
      <c r="F71">
        <f t="shared" si="1"/>
        <v>119.92999999999996</v>
      </c>
    </row>
    <row r="72" spans="3:6" x14ac:dyDescent="0.25">
      <c r="C72">
        <f t="shared" si="2"/>
        <v>0.64000000000000035</v>
      </c>
      <c r="E72">
        <f t="shared" si="4"/>
        <v>28.547200000000036</v>
      </c>
      <c r="F72">
        <f t="shared" si="1"/>
        <v>119.11999999999996</v>
      </c>
    </row>
    <row r="73" spans="3:6" x14ac:dyDescent="0.25">
      <c r="C73">
        <f t="shared" si="2"/>
        <v>0.65000000000000036</v>
      </c>
      <c r="E73">
        <f t="shared" ref="E73:F108" si="5">(1-$C73)^3*$C$2+3*$C73*(1-$C73)^2*$G$3+3*$C73^2*(1-$C73)*$G$4+$C73^3*$C$5</f>
        <v>29.606250000000038</v>
      </c>
      <c r="F73">
        <f t="shared" ref="F73:F108" si="6">(1-$C73)^3*$D$2+3*$C73*(1-$C73)^2*$H$3+3*$C73^2*(1-$C73)*$H$4+$C73^3*$D$5</f>
        <v>118.24999999999996</v>
      </c>
    </row>
    <row r="74" spans="3:6" x14ac:dyDescent="0.25">
      <c r="C74">
        <f t="shared" ref="C74:C137" si="7">C73+0.01</f>
        <v>0.66000000000000036</v>
      </c>
      <c r="E74">
        <f t="shared" si="5"/>
        <v>30.714800000000039</v>
      </c>
      <c r="F74">
        <f t="shared" si="6"/>
        <v>117.31999999999998</v>
      </c>
    </row>
    <row r="75" spans="3:6" x14ac:dyDescent="0.25">
      <c r="C75">
        <f t="shared" si="7"/>
        <v>0.67000000000000037</v>
      </c>
      <c r="E75">
        <f t="shared" si="5"/>
        <v>31.873150000000045</v>
      </c>
      <c r="F75">
        <f t="shared" si="6"/>
        <v>116.32999999999996</v>
      </c>
    </row>
    <row r="76" spans="3:6" x14ac:dyDescent="0.25">
      <c r="C76">
        <f t="shared" si="7"/>
        <v>0.68000000000000038</v>
      </c>
      <c r="E76">
        <f t="shared" si="5"/>
        <v>33.081600000000051</v>
      </c>
      <c r="F76">
        <f t="shared" si="6"/>
        <v>115.27999999999996</v>
      </c>
    </row>
    <row r="77" spans="3:6" x14ac:dyDescent="0.25">
      <c r="C77">
        <f t="shared" si="7"/>
        <v>0.69000000000000039</v>
      </c>
      <c r="E77">
        <f t="shared" si="5"/>
        <v>34.340450000000047</v>
      </c>
      <c r="F77">
        <f t="shared" si="6"/>
        <v>114.16999999999994</v>
      </c>
    </row>
    <row r="78" spans="3:6" x14ac:dyDescent="0.25">
      <c r="C78">
        <f t="shared" si="7"/>
        <v>0.7000000000000004</v>
      </c>
      <c r="E78">
        <f t="shared" si="5"/>
        <v>35.650000000000055</v>
      </c>
      <c r="F78">
        <f t="shared" si="6"/>
        <v>112.99999999999994</v>
      </c>
    </row>
    <row r="79" spans="3:6" x14ac:dyDescent="0.25">
      <c r="C79">
        <f t="shared" si="7"/>
        <v>0.71000000000000041</v>
      </c>
      <c r="E79">
        <f t="shared" si="5"/>
        <v>37.010550000000052</v>
      </c>
      <c r="F79">
        <f t="shared" si="6"/>
        <v>111.76999999999994</v>
      </c>
    </row>
    <row r="80" spans="3:6" x14ac:dyDescent="0.25">
      <c r="C80">
        <f t="shared" si="7"/>
        <v>0.72000000000000042</v>
      </c>
      <c r="E80">
        <f t="shared" si="5"/>
        <v>38.42240000000006</v>
      </c>
      <c r="F80">
        <f t="shared" si="6"/>
        <v>110.47999999999995</v>
      </c>
    </row>
    <row r="81" spans="3:6" x14ac:dyDescent="0.25">
      <c r="C81">
        <f t="shared" si="7"/>
        <v>0.73000000000000043</v>
      </c>
      <c r="E81">
        <f t="shared" si="5"/>
        <v>39.885850000000062</v>
      </c>
      <c r="F81">
        <f t="shared" si="6"/>
        <v>109.12999999999994</v>
      </c>
    </row>
    <row r="82" spans="3:6" x14ac:dyDescent="0.25">
      <c r="C82">
        <f t="shared" si="7"/>
        <v>0.74000000000000044</v>
      </c>
      <c r="E82">
        <f t="shared" si="5"/>
        <v>41.401200000000067</v>
      </c>
      <c r="F82">
        <f t="shared" si="6"/>
        <v>107.71999999999994</v>
      </c>
    </row>
    <row r="83" spans="3:6" x14ac:dyDescent="0.25">
      <c r="C83">
        <f t="shared" si="7"/>
        <v>0.75000000000000044</v>
      </c>
      <c r="E83">
        <f t="shared" si="5"/>
        <v>42.968750000000071</v>
      </c>
      <c r="F83">
        <f t="shared" si="6"/>
        <v>106.24999999999994</v>
      </c>
    </row>
    <row r="84" spans="3:6" x14ac:dyDescent="0.25">
      <c r="C84">
        <f t="shared" si="7"/>
        <v>0.76000000000000045</v>
      </c>
      <c r="E84">
        <f t="shared" si="5"/>
        <v>44.58880000000007</v>
      </c>
      <c r="F84">
        <f t="shared" si="6"/>
        <v>104.71999999999991</v>
      </c>
    </row>
    <row r="85" spans="3:6" x14ac:dyDescent="0.25">
      <c r="C85">
        <f t="shared" si="7"/>
        <v>0.77000000000000046</v>
      </c>
      <c r="E85">
        <f t="shared" si="5"/>
        <v>46.261650000000081</v>
      </c>
      <c r="F85">
        <f t="shared" si="6"/>
        <v>103.12999999999994</v>
      </c>
    </row>
    <row r="86" spans="3:6" x14ac:dyDescent="0.25">
      <c r="C86">
        <f t="shared" si="7"/>
        <v>0.78000000000000047</v>
      </c>
      <c r="E86">
        <f t="shared" si="5"/>
        <v>47.987600000000079</v>
      </c>
      <c r="F86">
        <f t="shared" si="6"/>
        <v>101.47999999999992</v>
      </c>
    </row>
    <row r="87" spans="3:6" x14ac:dyDescent="0.25">
      <c r="C87">
        <f t="shared" si="7"/>
        <v>0.79000000000000048</v>
      </c>
      <c r="E87">
        <f t="shared" si="5"/>
        <v>49.766950000000087</v>
      </c>
      <c r="F87">
        <f t="shared" si="6"/>
        <v>99.769999999999911</v>
      </c>
    </row>
    <row r="88" spans="3:6" x14ac:dyDescent="0.25">
      <c r="C88">
        <f t="shared" si="7"/>
        <v>0.80000000000000049</v>
      </c>
      <c r="E88">
        <f t="shared" si="5"/>
        <v>51.600000000000087</v>
      </c>
      <c r="F88">
        <f t="shared" si="6"/>
        <v>97.999999999999915</v>
      </c>
    </row>
    <row r="89" spans="3:6" x14ac:dyDescent="0.25">
      <c r="C89">
        <f t="shared" si="7"/>
        <v>0.8100000000000005</v>
      </c>
      <c r="E89">
        <f t="shared" si="5"/>
        <v>53.487050000000089</v>
      </c>
      <c r="F89">
        <f t="shared" si="6"/>
        <v>96.169999999999902</v>
      </c>
    </row>
    <row r="90" spans="3:6" x14ac:dyDescent="0.25">
      <c r="C90">
        <f t="shared" si="7"/>
        <v>0.82000000000000051</v>
      </c>
      <c r="E90">
        <f t="shared" si="5"/>
        <v>55.428400000000089</v>
      </c>
      <c r="F90">
        <f t="shared" si="6"/>
        <v>94.279999999999887</v>
      </c>
    </row>
    <row r="91" spans="3:6" x14ac:dyDescent="0.25">
      <c r="C91">
        <f t="shared" si="7"/>
        <v>0.83000000000000052</v>
      </c>
      <c r="E91">
        <f t="shared" si="5"/>
        <v>57.424350000000103</v>
      </c>
      <c r="F91">
        <f t="shared" si="6"/>
        <v>92.329999999999899</v>
      </c>
    </row>
    <row r="92" spans="3:6" x14ac:dyDescent="0.25">
      <c r="C92">
        <f t="shared" si="7"/>
        <v>0.84000000000000052</v>
      </c>
      <c r="E92">
        <f t="shared" si="5"/>
        <v>59.475200000000108</v>
      </c>
      <c r="F92">
        <f t="shared" si="6"/>
        <v>90.319999999999894</v>
      </c>
    </row>
    <row r="93" spans="3:6" x14ac:dyDescent="0.25">
      <c r="C93">
        <f t="shared" si="7"/>
        <v>0.85000000000000053</v>
      </c>
      <c r="E93">
        <f t="shared" si="5"/>
        <v>61.581250000000111</v>
      </c>
      <c r="F93">
        <f t="shared" si="6"/>
        <v>88.249999999999886</v>
      </c>
    </row>
    <row r="94" spans="3:6" x14ac:dyDescent="0.25">
      <c r="C94">
        <f t="shared" si="7"/>
        <v>0.86000000000000054</v>
      </c>
      <c r="E94">
        <f t="shared" si="5"/>
        <v>63.742800000000116</v>
      </c>
      <c r="F94">
        <f t="shared" si="6"/>
        <v>86.119999999999877</v>
      </c>
    </row>
    <row r="95" spans="3:6" x14ac:dyDescent="0.25">
      <c r="C95">
        <f t="shared" si="7"/>
        <v>0.87000000000000055</v>
      </c>
      <c r="E95">
        <f t="shared" si="5"/>
        <v>65.960150000000112</v>
      </c>
      <c r="F95">
        <f t="shared" si="6"/>
        <v>83.929999999999865</v>
      </c>
    </row>
    <row r="96" spans="3:6" x14ac:dyDescent="0.25">
      <c r="C96">
        <f t="shared" si="7"/>
        <v>0.88000000000000056</v>
      </c>
      <c r="E96">
        <f t="shared" si="5"/>
        <v>68.233600000000123</v>
      </c>
      <c r="F96">
        <f t="shared" si="6"/>
        <v>81.679999999999865</v>
      </c>
    </row>
    <row r="97" spans="3:6" x14ac:dyDescent="0.25">
      <c r="C97">
        <f t="shared" si="7"/>
        <v>0.89000000000000057</v>
      </c>
      <c r="E97">
        <f t="shared" si="5"/>
        <v>70.563450000000131</v>
      </c>
      <c r="F97">
        <f t="shared" si="6"/>
        <v>79.369999999999862</v>
      </c>
    </row>
    <row r="98" spans="3:6" x14ac:dyDescent="0.25">
      <c r="C98">
        <f t="shared" si="7"/>
        <v>0.90000000000000058</v>
      </c>
      <c r="E98">
        <f t="shared" si="5"/>
        <v>72.950000000000145</v>
      </c>
      <c r="F98">
        <f t="shared" si="6"/>
        <v>76.999999999999858</v>
      </c>
    </row>
    <row r="99" spans="3:6" x14ac:dyDescent="0.25">
      <c r="C99">
        <f t="shared" si="7"/>
        <v>0.91000000000000059</v>
      </c>
      <c r="E99">
        <f t="shared" si="5"/>
        <v>75.393550000000147</v>
      </c>
      <c r="F99">
        <f t="shared" si="6"/>
        <v>74.569999999999851</v>
      </c>
    </row>
    <row r="100" spans="3:6" x14ac:dyDescent="0.25">
      <c r="C100">
        <f t="shared" si="7"/>
        <v>0.9200000000000006</v>
      </c>
      <c r="E100">
        <f t="shared" si="5"/>
        <v>77.894400000000147</v>
      </c>
      <c r="F100">
        <f t="shared" si="6"/>
        <v>72.079999999999842</v>
      </c>
    </row>
    <row r="101" spans="3:6" x14ac:dyDescent="0.25">
      <c r="C101">
        <f t="shared" si="7"/>
        <v>0.9300000000000006</v>
      </c>
      <c r="E101">
        <f t="shared" si="5"/>
        <v>80.452850000000154</v>
      </c>
      <c r="F101">
        <f t="shared" si="6"/>
        <v>69.529999999999845</v>
      </c>
    </row>
    <row r="102" spans="3:6" x14ac:dyDescent="0.25">
      <c r="C102">
        <f t="shared" si="7"/>
        <v>0.94000000000000061</v>
      </c>
      <c r="E102">
        <f t="shared" si="5"/>
        <v>83.069200000000166</v>
      </c>
      <c r="F102">
        <f t="shared" si="6"/>
        <v>66.919999999999845</v>
      </c>
    </row>
    <row r="103" spans="3:6" x14ac:dyDescent="0.25">
      <c r="C103">
        <f t="shared" si="7"/>
        <v>0.95000000000000062</v>
      </c>
      <c r="E103">
        <f t="shared" si="5"/>
        <v>85.743750000000162</v>
      </c>
      <c r="F103">
        <f t="shared" si="6"/>
        <v>64.249999999999829</v>
      </c>
    </row>
    <row r="104" spans="3:6" x14ac:dyDescent="0.25">
      <c r="C104">
        <f t="shared" si="7"/>
        <v>0.96000000000000063</v>
      </c>
      <c r="E104">
        <f t="shared" si="5"/>
        <v>88.476800000000182</v>
      </c>
      <c r="F104">
        <f t="shared" si="6"/>
        <v>61.519999999999825</v>
      </c>
    </row>
    <row r="105" spans="3:6" x14ac:dyDescent="0.25">
      <c r="C105">
        <f t="shared" si="7"/>
        <v>0.97000000000000064</v>
      </c>
      <c r="E105">
        <f t="shared" si="5"/>
        <v>91.268650000000193</v>
      </c>
      <c r="F105">
        <f t="shared" si="6"/>
        <v>58.729999999999826</v>
      </c>
    </row>
    <row r="106" spans="3:6" x14ac:dyDescent="0.25">
      <c r="C106">
        <f t="shared" si="7"/>
        <v>0.98000000000000065</v>
      </c>
      <c r="E106">
        <f t="shared" si="5"/>
        <v>94.119600000000176</v>
      </c>
      <c r="F106">
        <f t="shared" si="6"/>
        <v>55.879999999999811</v>
      </c>
    </row>
    <row r="107" spans="3:6" x14ac:dyDescent="0.25">
      <c r="C107">
        <f t="shared" si="7"/>
        <v>0.99000000000000066</v>
      </c>
      <c r="E107">
        <f t="shared" si="5"/>
        <v>97.029950000000198</v>
      </c>
      <c r="F107">
        <f t="shared" si="6"/>
        <v>52.969999999999807</v>
      </c>
    </row>
    <row r="108" spans="3:6" x14ac:dyDescent="0.25">
      <c r="C108">
        <f t="shared" si="7"/>
        <v>1.0000000000000007</v>
      </c>
      <c r="E108">
        <f t="shared" si="5"/>
        <v>100.0000000000002</v>
      </c>
      <c r="F108">
        <f t="shared" si="6"/>
        <v>49.999999999999801</v>
      </c>
    </row>
  </sheetData>
  <mergeCells count="1">
    <mergeCell ref="R14:U14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Hermite</vt:lpstr>
      <vt:lpstr>Bezier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</dc:creator>
  <cp:lastModifiedBy>Pedro</cp:lastModifiedBy>
  <dcterms:created xsi:type="dcterms:W3CDTF">2014-09-23T17:52:43Z</dcterms:created>
  <dcterms:modified xsi:type="dcterms:W3CDTF">2014-09-25T21:30:26Z</dcterms:modified>
</cp:coreProperties>
</file>